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tics" sheetId="1" r:id="rId5"/>
    <sheet state="visible" name="Social Media " sheetId="2" r:id="rId6"/>
    <sheet state="visible" name="SEO Blogs" sheetId="3" r:id="rId7"/>
    <sheet state="visible" name="Sheet5" sheetId="4" r:id="rId8"/>
  </sheets>
  <definedNames>
    <definedName hidden="1" localSheetId="1" name="_xlnm._FilterDatabase">'Social Media '!$A$1:$AE$76</definedName>
    <definedName hidden="1" localSheetId="2" name="_xlnm._FilterDatabase">'SEO Blogs'!$A$1:$Z$24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tc={41b0940d-9dfd-4ec4-a38c-8c87d2e75592}</author>
    <author>tc={c2dd542f-6c46-48e5-8036-f407c8d58216}</author>
  </authors>
  <commentList>
    <comment authorId="0" xr:uid="{41b0940d-9dfd-4ec4-a38c-8c87d2e75592}" ref="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QQ: is this Cx engagement on IG or Mx engagement with us/how cooperative they'll be?
Reply:
	Cx engagement on IG!
</t>
      </text>
    </comment>
    <comment authorId="1" xr:uid="{c2dd542f-6c46-48e5-8036-f407c8d58216}" ref="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Recommend them
Reply:
	Yes if I can get you to connect please they did not show up LOL
</t>
      </text>
    </comment>
  </commentList>
</comments>
</file>

<file path=xl/sharedStrings.xml><?xml version="1.0" encoding="utf-8"?>
<sst xmlns="http://schemas.openxmlformats.org/spreadsheetml/2006/main" count="1013" uniqueCount="668">
  <si>
    <t>Business Name</t>
  </si>
  <si>
    <t xml:space="preserve">Business ID </t>
  </si>
  <si>
    <t>Falafel Corner</t>
  </si>
  <si>
    <t xml:space="preserve">Taystee's Burgers </t>
  </si>
  <si>
    <t xml:space="preserve">Hogsalt </t>
  </si>
  <si>
    <t>Emails</t>
  </si>
  <si>
    <t>Business ID</t>
  </si>
  <si>
    <t>Cuisine</t>
  </si>
  <si>
    <t xml:space="preserve">Instagram Shared? </t>
  </si>
  <si>
    <t xml:space="preserve">Events Shared? </t>
  </si>
  <si>
    <t xml:space="preserve">First Set of Posts Generated? </t>
  </si>
  <si>
    <t>Social Media LInk</t>
  </si>
  <si>
    <t># of Followers</t>
  </si>
  <si>
    <t>Photos and Videos?</t>
  </si>
  <si>
    <t>Engagement Level</t>
  </si>
  <si>
    <t>Comments</t>
  </si>
  <si>
    <t>MP Weekly Avg</t>
  </si>
  <si>
    <t>SF Weekly Avg</t>
  </si>
  <si>
    <t>julianlosocampo@gmail.com</t>
  </si>
  <si>
    <t>healthy,guacamole,chips_and_salsa,steak,pollo_la_brasa,chicken_shop,al_pastor,carne_asada,enchiladas,tacos,burritos,quesadillas,bars,mexican</t>
  </si>
  <si>
    <t>Los Ocampos</t>
  </si>
  <si>
    <t xml:space="preserve">No </t>
  </si>
  <si>
    <t>https://www.instagram.com/losocamporestaurants/</t>
  </si>
  <si>
    <t>photos and vids</t>
  </si>
  <si>
    <t>Low</t>
  </si>
  <si>
    <t>influencer videos, photos,</t>
  </si>
  <si>
    <t>lisandro@glenteamre.com</t>
  </si>
  <si>
    <t>burritos,mexican,tacos</t>
  </si>
  <si>
    <t>La Cocina</t>
  </si>
  <si>
    <t xml:space="preserve">Yes </t>
  </si>
  <si>
    <t xml:space="preserve">1. Lunch special 11-2 
Lunch Pork or chicken with rice and free soda 
Starting at 9.99 
2. St Patty's 
3. Menu item highlight Mofongo </t>
  </si>
  <si>
    <t>https://www.instagram.com/lacocina_nj/?hl=en</t>
  </si>
  <si>
    <t>Do boosted content, sponsored listings, posts every day, haven't seem to cracked the code</t>
  </si>
  <si>
    <t>art4foodinc@gmail.com</t>
  </si>
  <si>
    <t>dineout-new,burgers,fast_casual,fast_food,fried_chicken,comfort_food,american</t>
  </si>
  <si>
    <t>Burger Bun</t>
  </si>
  <si>
    <t>Not Yet need to ask</t>
  </si>
  <si>
    <t xml:space="preserve">1. March Madness 
2. 10AM -11AM Early Bird special in person only or for phone pickup 15% off everything  
3. 8 PM - 10 PM Happy Hour TBD </t>
  </si>
  <si>
    <t>https://www.instagram.com/burgerbunla/</t>
  </si>
  <si>
    <t>photos and some vids</t>
  </si>
  <si>
    <t>High quality videos</t>
  </si>
  <si>
    <t>mastoory@tasteofchelo.com</t>
  </si>
  <si>
    <t>mediterranean,middle_east</t>
  </si>
  <si>
    <t>Chelo</t>
  </si>
  <si>
    <t>https://www.instagram.com/tasteofchelo/</t>
  </si>
  <si>
    <t>photos vids</t>
  </si>
  <si>
    <t>Good to work with, wants to share, easy to join, get catering</t>
  </si>
  <si>
    <t>sumoramen88@gmail.com</t>
  </si>
  <si>
    <t>fast_food,comfort_food,japanese</t>
  </si>
  <si>
    <t>Sumo Ramen Market City</t>
  </si>
  <si>
    <t>https://www.instagram.com/sumoramenmarketcity/</t>
  </si>
  <si>
    <t>photos</t>
  </si>
  <si>
    <t>only 2 posts, no engagement</t>
  </si>
  <si>
    <t>jaliscoscateringservices@gmail.com</t>
  </si>
  <si>
    <t>seafood_restaurant,casual_dining,mexican</t>
  </si>
  <si>
    <t>Jalisco Restaurant Authentic Mexican Food</t>
  </si>
  <si>
    <t>https://www.instagram.com/jaliscoscatering/</t>
  </si>
  <si>
    <t>admin@falafelcorner.us</t>
  </si>
  <si>
    <t>fast_food,mediterranean,middle_eastern</t>
  </si>
  <si>
    <t>https://www.instagram.com/falafelcornerdowntown/?hl=en</t>
  </si>
  <si>
    <t xml:space="preserve">No show </t>
  </si>
  <si>
    <t>teejayescountryplace@gmail.com</t>
  </si>
  <si>
    <t>comfort_food,miami_deli,soup,salads,sandwich</t>
  </si>
  <si>
    <t>Tee Jayes Country Place</t>
  </si>
  <si>
    <t>https://www.instagram.com/teejayescountryplace/</t>
  </si>
  <si>
    <t>Updates, promos, some menu items</t>
  </si>
  <si>
    <t>sigmabid@gmail.com</t>
  </si>
  <si>
    <t>fast_food,halal</t>
  </si>
  <si>
    <t>Halal Express</t>
  </si>
  <si>
    <t>https://www.instagram.com/halalexpressnj/</t>
  </si>
  <si>
    <t>videos</t>
  </si>
  <si>
    <t>they post really good, food focused videos but still doesn't get any engagement</t>
  </si>
  <si>
    <t>tionachonyc@outlook.com</t>
  </si>
  <si>
    <t>sandwiches,dessert_and_fast-food,smoothies,breakfast,mexican</t>
  </si>
  <si>
    <t>Tio Nacho</t>
  </si>
  <si>
    <t>https://www.instagram.com/tionacho_nyc/?hl=en</t>
  </si>
  <si>
    <t>Engaged merchant, easy to work with, interested in the pilot for sure</t>
  </si>
  <si>
    <t>323hibachigrill@gmail.com,  ruben.gallegos97@gmail.com</t>
  </si>
  <si>
    <t>salmon,burgers,bars,hibachi,japanese</t>
  </si>
  <si>
    <t>323 Hibachi Grill</t>
  </si>
  <si>
    <t>https://www.instagram.com/323hibachigrill/</t>
  </si>
  <si>
    <t>Med/high</t>
  </si>
  <si>
    <t>Friendly merchant, does well with influencer posts, success is increased order volume</t>
  </si>
  <si>
    <t>contact@tetsujinsushi.com</t>
  </si>
  <si>
    <t>vegetarian,fast_casual,cheesesteaks,sandwiches,shrimp,chicken_shop,chicken_wings,wings,seafood_restaurant,american</t>
  </si>
  <si>
    <t>Kaisen Don (Balboa St) | Kaisen Don</t>
  </si>
  <si>
    <t>https://www.instagram.com/kaisendon1939/</t>
  </si>
  <si>
    <t>does influencer marketing, video</t>
  </si>
  <si>
    <t>nthepmanee@thaicortez.com</t>
  </si>
  <si>
    <t>casual_dining,thai</t>
  </si>
  <si>
    <t>Thai Cortez</t>
  </si>
  <si>
    <t>https://www.instagram.com/thai.cortez/</t>
  </si>
  <si>
    <t>Friendly merchant, definitely needs help to increase instagram usage but population is typically older, only posts videos of food here and there</t>
  </si>
  <si>
    <t>Email</t>
  </si>
  <si>
    <t xml:space="preserve">Website </t>
  </si>
  <si>
    <t>Keywords</t>
  </si>
  <si>
    <t>Weekly MP Vol</t>
  </si>
  <si>
    <t>SF Vol</t>
  </si>
  <si>
    <t>SF OSW</t>
  </si>
  <si>
    <t>Organic Vol</t>
  </si>
  <si>
    <t>GFO Vol</t>
  </si>
  <si>
    <t>AOV</t>
  </si>
  <si>
    <t>Notes</t>
  </si>
  <si>
    <t>Taichi Bubble Tea</t>
  </si>
  <si>
    <t>Mohamad Elgendi</t>
  </si>
  <si>
    <t>Yoshiharu Ramen</t>
  </si>
  <si>
    <t>Mohamad Elgendi can reach out</t>
  </si>
  <si>
    <t>https://fcorner.com/</t>
  </si>
  <si>
    <t>Tacos El Regio</t>
  </si>
  <si>
    <t>Shawarma King</t>
  </si>
  <si>
    <t>Owl Breakfast &amp; Lunch</t>
  </si>
  <si>
    <t xml:space="preserve">Say their website is beautiful </t>
  </si>
  <si>
    <t>Lucifer's Pizza</t>
  </si>
  <si>
    <t>JaxSpice</t>
  </si>
  <si>
    <t>8 Bit Bites</t>
  </si>
  <si>
    <t>Sea Salt Healthy Kitchen</t>
  </si>
  <si>
    <t>Dude’s Chicken (Halal)</t>
  </si>
  <si>
    <t>Petra Mediterranean Cuisine</t>
  </si>
  <si>
    <t>Taqueria El Cazador</t>
  </si>
  <si>
    <t>Pizza Bar South Beach</t>
  </si>
  <si>
    <t>Burger Bros</t>
  </si>
  <si>
    <t>Happy House Chinese Food (Memorial location)</t>
  </si>
  <si>
    <t>Halal Burgers &amp; More</t>
  </si>
  <si>
    <t>Pho Hoang</t>
  </si>
  <si>
    <t>Philly's A Taste Of Philadelphia</t>
  </si>
  <si>
    <t>Taco De Oro</t>
  </si>
  <si>
    <t>7 Star Pizza</t>
  </si>
  <si>
    <t>China Moon</t>
  </si>
  <si>
    <t>ShakeBacks</t>
  </si>
  <si>
    <t>BUSINESS_ID</t>
  </si>
  <si>
    <t>FIRST_NAME</t>
  </si>
  <si>
    <t>LAST_NAME</t>
  </si>
  <si>
    <t>EMAIL_ADDRESS</t>
  </si>
  <si>
    <t>ROLE</t>
  </si>
  <si>
    <t>STORE_ACCESS_STORE_IDS</t>
  </si>
  <si>
    <t>STORE_ACCESS_STORE_NAMES</t>
  </si>
  <si>
    <t>LAST_UPDATED</t>
  </si>
  <si>
    <t>Bilal</t>
  </si>
  <si>
    <t>Ahmad</t>
  </si>
  <si>
    <t>bilalahmad8365@gmail.com</t>
  </si>
  <si>
    <t>MANAGER</t>
  </si>
  <si>
    <t>Falafel Corner (Lodi)</t>
  </si>
  <si>
    <t>Humayon</t>
  </si>
  <si>
    <t>humayonahmad23@gmail.com</t>
  </si>
  <si>
    <t>Falafel Corner (Davis)</t>
  </si>
  <si>
    <t>Riaz</t>
  </si>
  <si>
    <t>woodlandfalafel@gmail.com</t>
  </si>
  <si>
    <t>Falafel Corner (Davis) | Falafel Corner (Gibson Rd)</t>
  </si>
  <si>
    <t>Aqeel</t>
  </si>
  <si>
    <t>ab.corner@yahoo.com</t>
  </si>
  <si>
    <t>Falafel Corner (Travis Blvd)</t>
  </si>
  <si>
    <t>Touqeer</t>
  </si>
  <si>
    <t>Ahmed</t>
  </si>
  <si>
    <t>falafelcornerelkgrove@gmail.com</t>
  </si>
  <si>
    <t>Falafel Corner (Bruceville)</t>
  </si>
  <si>
    <t>rehmantouqeer@yahoo.com</t>
  </si>
  <si>
    <t>Falafel Corner (Alhambra Blvd)</t>
  </si>
  <si>
    <t>tookie1andonly@gmail.com</t>
  </si>
  <si>
    <t>Falafel Corner (Bruceville) | Falafel Corner (Alhambra Blvd)</t>
  </si>
  <si>
    <t>Saad</t>
  </si>
  <si>
    <t>Asghar</t>
  </si>
  <si>
    <t>falafelcornerbrentwood@gmail.com</t>
  </si>
  <si>
    <t>ADMIN</t>
  </si>
  <si>
    <t>Falafel Corner (Brentwood Blvd)</t>
  </si>
  <si>
    <t>Saif</t>
  </si>
  <si>
    <t>Aslam</t>
  </si>
  <si>
    <t>falafelcornerjst@gmail.com</t>
  </si>
  <si>
    <t>Falafel Corner (J Street) - Drive</t>
  </si>
  <si>
    <t>Falafel</t>
  </si>
  <si>
    <t>Corner</t>
  </si>
  <si>
    <t>fcdavis720@gmail.com</t>
  </si>
  <si>
    <t>fcornerguys@gmail.com</t>
  </si>
  <si>
    <t>Falafel Corner (Bradshaw Rd)</t>
  </si>
  <si>
    <t>Livinity</t>
  </si>
  <si>
    <t>Freeport</t>
  </si>
  <si>
    <t>livinityfreeport@gmail.com</t>
  </si>
  <si>
    <t>Falafel Corner (Freeport Blvd)</t>
  </si>
  <si>
    <t>Sohail</t>
  </si>
  <si>
    <t>Ginwala</t>
  </si>
  <si>
    <t>falafelcornergb@gmail.com</t>
  </si>
  <si>
    <t>Falafel Corner (Douglas Blvd)</t>
  </si>
  <si>
    <t>Ginwalla</t>
  </si>
  <si>
    <t>sohailginwalla47@yahoo.com</t>
  </si>
  <si>
    <t>Muhammad</t>
  </si>
  <si>
    <t>Ishaq</t>
  </si>
  <si>
    <t>sactownfoods@gmail.com</t>
  </si>
  <si>
    <t>Falafel Corner (J Street) - New</t>
  </si>
  <si>
    <t>Kashif</t>
  </si>
  <si>
    <t>kashif433@yahoo.com</t>
  </si>
  <si>
    <t>Asif</t>
  </si>
  <si>
    <t>Khalid</t>
  </si>
  <si>
    <t>auburnfalafelcorner@gmail.com</t>
  </si>
  <si>
    <t>BUSINESS GROUP ADMIN</t>
  </si>
  <si>
    <t>Falafel Corner (Travis Blvd) | Falafel Corner (Brentwood Blvd) | Falafel Corner (Douglas Blvd) | Falafel Corner (Lodi) |  Falafel Corner (J Street) - Drive | Falafel Corner (J Street) - New | Falafel Corner (Alhambra Blvd) | Falafel Corner (Stockton) | Falafel Corner (Davis) | Falafel Corner (Freeport Blvd) | Falafel Corner (Oakland) | Falafel Corner (Bruceville) | Falafel Corner (N Freeway Blvd) | Falafel Corner (Bradshaw Rd) | Falafel Corner (Roseville) | Falafel Corner (Sunrise Blvd) | Falafel Corner (Marconi Ave) | Falafel Corner (Yuba City) | Falafel Corner (Bowman Rd) | Falafel Corner (March Ln) | Falafel Corner (Gibson Rd) | Falafel Corner (Walerga Rd) | Falafel Corner - Folsom</t>
  </si>
  <si>
    <t>Israr</t>
  </si>
  <si>
    <t>Khan</t>
  </si>
  <si>
    <t>fcstockton1219@gmail.com</t>
  </si>
  <si>
    <t>Falafel Corner (Stockton)</t>
  </si>
  <si>
    <t>fcyuba@yahoo.com</t>
  </si>
  <si>
    <t>Falafel Corner (Sunrise Blvd) | Falafel Corner (Bruceville) | Falafel Corner (Marconi Ave) | Falafel Corner (Walerga Rd) | Falafel Corner (Alhambra Blvd) | Falafel Corner (Douglas Blvd) | Falafel Corner (Stockton) | Falafel Corner (Lodi) | Falafel Corner - Folsom | Falafel Corner (N Freeway Blvd) | Falafel Corner (Yuba City) | Falafel Corner (Freeport Blvd) | Falafel Corner (March Ln) | Falafel Corner (Davis) | Falafel Corner (Travis Blvd) | Falafel Corner (J Street) - New | Falafel Corner (Oakland) | Falafel Corner (Gibson Rd) | Falafel Corner (Brentwood Blvd) |  Falafel Corner (J Street) - Drive | Falafel Corner (Roseville) | Falafel Corner (Bowman Rd) | Falafel Corner (Bradshaw Rd)</t>
  </si>
  <si>
    <t>rashidk_33@yahoo.com</t>
  </si>
  <si>
    <t>Falafel Corner (N Freeway Blvd) | Falafel Corner (Bruceville) | Falafel Corner (J Street) - New | Falafel Corner (Roseville) | Falafel Corner (Douglas Blvd) | Falafel Corner (Marconi Ave) | Falafel Corner (Walerga Rd) | Falafel Corner (Sunrise Blvd) | Falafel Corner (March Ln) | Falafel Corner (Yuba City) | Falafel Corner (Freeport Blvd) | Falafel Corner (Stockton) | Falafel Corner (Lodi) | Falafel Corner (Bradshaw Rd) | Falafel Corner (Davis) |  Falafel Corner (J Street) - Drive | Falafel Corner (Alhambra Blvd) | Falafel Corner (Bowman Rd) | Falafel Corner (Brentwood Blvd) | Falafel Corner (Oakland) | Falafel Corner (Travis Blvd) | Falafel Corner (Gibson Rd) | Falafel Corner - Folsom</t>
  </si>
  <si>
    <t>Nazar</t>
  </si>
  <si>
    <t>ahmeynazar@gmail.com</t>
  </si>
  <si>
    <t>Falafel Corner (Sunrise Blvd)</t>
  </si>
  <si>
    <t>fc7700sunrise@gmail.com</t>
  </si>
  <si>
    <t>Thang</t>
  </si>
  <si>
    <t>Nguyen</t>
  </si>
  <si>
    <t>nqtfoodinc38@gmail.com</t>
  </si>
  <si>
    <t>Falafel Corner - Folsom</t>
  </si>
  <si>
    <t>Logical</t>
  </si>
  <si>
    <t>orders</t>
  </si>
  <si>
    <t>logicalorders@gmail.com</t>
  </si>
  <si>
    <t>STORE OPERATOR</t>
  </si>
  <si>
    <t>Hafiz</t>
  </si>
  <si>
    <t>Rasool</t>
  </si>
  <si>
    <t>zhrasool@gmail.com</t>
  </si>
  <si>
    <t>Falafel Corner (Roseville)</t>
  </si>
  <si>
    <t>Khalil</t>
  </si>
  <si>
    <t>Rehman</t>
  </si>
  <si>
    <t>falafelcorner21@gmail.com</t>
  </si>
  <si>
    <t>Falafel Corner (Oakland)</t>
  </si>
  <si>
    <t>S Ishaq</t>
  </si>
  <si>
    <t>msaqqibishaq@gmail.com</t>
  </si>
  <si>
    <t>Wazeed</t>
  </si>
  <si>
    <t>Safi</t>
  </si>
  <si>
    <t>falafelcornermarconi@gmail.com</t>
  </si>
  <si>
    <t>Falafel Corner (Marconi Ave)</t>
  </si>
  <si>
    <t>Sajad</t>
  </si>
  <si>
    <t>Shakoor</t>
  </si>
  <si>
    <t>Falafel Corner (Bradshaw Rd) | Falafel Corner (Sunrise Blvd) | Falafel Corner (Davis) | Falafel Corner (J Street) - New | Falafel Corner (Marconi Ave) | Falafel Corner (March Ln) | Falafel Corner (Brentwood Blvd) | Falafel Corner (Gibson Rd) | Falafel Corner (N Freeway Blvd) | Falafel Corner (Walerga Rd) |  Falafel Corner (J Street) - Drive | Falafel Corner (Bruceville) | Falafel Corner - Folsom | Falafel Corner (Alhambra Blvd) | Falafel Corner (Bowman Rd) | Falafel Corner (Roseville) | Falafel Corner (Lodi) | Falafel Corner (Freeport Blvd) | Falafel Corner (Douglas Blvd) | Falafel Corner (Yuba City) | Falafel Corner (Travis Blvd) | Falafel Corner (Oakland) | Falafel Corner (Stockton)</t>
  </si>
  <si>
    <t>falafelcornersacramento1@gmail.com</t>
  </si>
  <si>
    <t>Falafel Corner (N Freeway Blvd)</t>
  </si>
  <si>
    <t>shakoor@thegoldenstateinstitute.org</t>
  </si>
  <si>
    <t>ADMIN, MANAGER</t>
  </si>
  <si>
    <t>Falafel Corner (Lodi) | Falafel Corner (Marconi Ave) | Falafel Corner (J Street) - New | Falafel Corner - Folsom | Falafel Corner (Bruceville) | Falafel Corner (Douglas Blvd) | Falafel Corner (Bradshaw Rd) | Falafel Corner (Roseville) | Falafel Corner (Stockton) | Falafel Corner (Freeport Blvd) | Falafel Corner (N Freeway Blvd) | Falafel Corner (Bowman Rd) | Falafel Corner (Oakland) | Falafel Corner (Sunrise Blvd) | Falafel Corner (March Ln) | Falafel Corner (Brentwood Blvd) | Falafel Corner (Yuba City) |  Falafel Corner (J Street) - Drive | Falafel Corner (Travis Blvd) | Falafel Corner (Davis) | Falafel Corner (Walerga Rd) | Falafel Corner (Alhambra Blvd) | Falafel Corner (Gibson Rd)</t>
  </si>
  <si>
    <t>Tahir</t>
  </si>
  <si>
    <t>Uddin</t>
  </si>
  <si>
    <t>moppy123@sbcglobal.net</t>
  </si>
  <si>
    <t>Falafel Corner (Walerga Rd)</t>
  </si>
  <si>
    <t>Rishi</t>
  </si>
  <si>
    <t>Verma</t>
  </si>
  <si>
    <t>fcyubacity786@gmail.com</t>
  </si>
  <si>
    <t>Falafel Corner (Yuba City)</t>
  </si>
  <si>
    <t>Yoshiharu</t>
  </si>
  <si>
    <t>Admin</t>
  </si>
  <si>
    <t>admin@yoshiharuramen.com</t>
  </si>
  <si>
    <t>Yoshiharu Ramen (Imperial Hwy) | Yoshiharu Ramen (Buena Park) | Yoshiharu Ramen NLV | Yoshiharu Ramen (Eastvale) | Yoshiharu Ramen (Menifee) | Yoshiharu Ramen (Orange) | Yoshiharu Ramen (Whittier) | Yoshiharu Ramen (La Mirada) | Yoshiharu Ramen (Garden Grove) | Yoshiharu Ramen (Corona) | Yoshiharu Ramen (Cerritos) | Yoshiharu Ramen (Irvine) | Yoshiharu Ramen (Chino) | Yoshiharu Ramen (Santa Monica Blvd) | Yoshiharu Ramen (Laguna Niguel) | Yoshiharu Ramen (San Clemente)</t>
  </si>
  <si>
    <t>Yoshiharu ramen</t>
  </si>
  <si>
    <t>Chino</t>
  </si>
  <si>
    <t>globalbbgroupinc@gmail.com</t>
  </si>
  <si>
    <t>Yoshiharu Ramen (Chino)</t>
  </si>
  <si>
    <t>Eastvale</t>
  </si>
  <si>
    <t>globalccgroupinc@gmail.com</t>
  </si>
  <si>
    <t>Irvine</t>
  </si>
  <si>
    <t>yoshiharuirvine@gmail.com</t>
  </si>
  <si>
    <t>Yoshiharu Ramen (Irvine)</t>
  </si>
  <si>
    <t>La Mirada</t>
  </si>
  <si>
    <t>globalddgroupinc@gmail.com</t>
  </si>
  <si>
    <t>Yoshiharu Ramen (La Mirada)</t>
  </si>
  <si>
    <t>yoshiharu</t>
  </si>
  <si>
    <t>orange bp</t>
  </si>
  <si>
    <t>globaljjgroupinc@gmail.com</t>
  </si>
  <si>
    <t>Yoshiharu Ramen (Orange) | Yoshiharu Ramen (Buena Park)</t>
  </si>
  <si>
    <t>Brian</t>
  </si>
  <si>
    <t>Park</t>
  </si>
  <si>
    <t>brianpark@yoshiharuramen.com</t>
  </si>
  <si>
    <t>Jasmine</t>
  </si>
  <si>
    <t>jasminepark@yoshiharuramen.com</t>
  </si>
  <si>
    <t>Yoshiharu Ramen (Corona) | Yoshiharu Ramen (Cerritos) | Yoshiharu Ramen (Whittier) | Yoshiharu Ramen (Orange) | Yoshiharu Ramen (Menifee) | Yoshiharu Ramen NLV | Yoshiharu Ramen (Irvine) | Yoshiharu Ramen (Buena Park) | Yoshiharu Ramen (La Mirada) | Yoshiharu Ramen (Chino) | Yoshiharu Ramen (Laguna Niguel) | Yoshiharu Ramen (Garden Grove) | Yoshiharu Ramen (Imperial Hwy) | Yoshiharu Ramen (San Clemente) | Yoshiharu Ramen (Santa Monica Blvd) | Yoshiharu Ramen (Eastvale)</t>
  </si>
  <si>
    <t>Sales</t>
  </si>
  <si>
    <t>yoshiharuramensales@gmail.com</t>
  </si>
  <si>
    <t>MANAGER, ADMIN</t>
  </si>
  <si>
    <t>Yoshiharu Ramen (Santa Monica Blvd) | Yoshiharu Ramen (Garden Grove) | Yoshiharu Ramen (Imperial Hwy) | Yoshiharu Ramen (Corona) | Yoshiharu Ramen (Laguna Niguel) | Yoshiharu Ramen (Eastvale) | Yoshiharu Ramen (Irvine) | Yoshiharu Ramen (Menifee) | Yoshiharu Ramen (Orange) | Yoshiharu Ramen (Cerritos) | Yoshiharu Ramen (Whittier) | Yoshiharu Ramen (Chino) | Yoshiharu Ramen (San Clemente) | Yoshiharu Ramen (La Mirada) | Yoshiharu Ramen (Buena Park) | Yoshiharu Ramen NLV</t>
  </si>
  <si>
    <t>Whittier</t>
  </si>
  <si>
    <t>globalaagroupinc@gmail.com</t>
  </si>
  <si>
    <t>Yoshiharu Ramen (Whittier)</t>
  </si>
  <si>
    <t>Taylor</t>
  </si>
  <si>
    <t>Yoon</t>
  </si>
  <si>
    <t>taylor@yoshiharuramen.com</t>
  </si>
  <si>
    <t>Yoshiharu Ramen (Eastvale) | Yoshiharu Ramen (Chino) | Yoshiharu Ramen (Imperial Hwy) | Yoshiharu Ramen (Menifee) | Yoshiharu Ramen (Orange) | Yoshiharu Ramen (La Mirada) | Yoshiharu Ramen (San Clemente) | Yoshiharu Ramen (Whittier) | Yoshiharu Ramen (Irvine) | Yoshiharu Ramen (Cerritos) | Yoshiharu Ramen (Laguna Niguel) | Yoshiharu Ramen (Buena Park) | Yoshiharu Ramen (Santa Monica Blvd) | Yoshiharu Ramen NLV | Yoshiharu Ramen (Corona) | Yoshiharu Ramen (Garden Grove)</t>
  </si>
  <si>
    <t>Adam</t>
  </si>
  <si>
    <t>Borich</t>
  </si>
  <si>
    <t>adam@luciferspizza.com</t>
  </si>
  <si>
    <t>Lucifer's Pizza - Sunset Blvd | Lucifer's Pizza (Manhattan Beach) | Lucifer's Pizza - Los Feliz | Lucifers Pizza (Burbank) | Lucifer's Pizza - Studio City | Lucifer's Pizza (Melrose Ave)</t>
  </si>
  <si>
    <t>Lourdes</t>
  </si>
  <si>
    <t>Lerma-Aguilar</t>
  </si>
  <si>
    <t>lourdes@mlassociates.net</t>
  </si>
  <si>
    <t>Lucifer's Pizza - Los Feliz | Lucifer's Pizza (Manhattan Beach) | Lucifer's Pizza (Melrose Ave) | Lucifers Pizza (Burbank) | Lucifer's Pizza - Studio City | Lucifer's Pizza - Sunset Blvd</t>
  </si>
  <si>
    <t>Pramod</t>
  </si>
  <si>
    <t>Adhikari</t>
  </si>
  <si>
    <t>contactrealdreamllc@gmail.com</t>
  </si>
  <si>
    <t>Burger Bros (Towson)</t>
  </si>
  <si>
    <t>Tai Chi Bubble Tea (Mount Hope Ave)</t>
  </si>
  <si>
    <t>taichibubbletea@gmail.com</t>
  </si>
  <si>
    <t>Taichi Bubble Tea (College Town)</t>
  </si>
  <si>
    <t>Miss Saigon</t>
  </si>
  <si>
    <t>BM</t>
  </si>
  <si>
    <t>mssaigondt@gmail.com</t>
  </si>
  <si>
    <t>Taichi Bubble Tea (Crofton)</t>
  </si>
  <si>
    <t>chun</t>
  </si>
  <si>
    <t>chan</t>
  </si>
  <si>
    <t>taichivestal@gmail.com</t>
  </si>
  <si>
    <t>Taichi Bubble Tea (Vestal)</t>
  </si>
  <si>
    <t>Clive</t>
  </si>
  <si>
    <t>Chan</t>
  </si>
  <si>
    <t>taichijackson@gmail.com</t>
  </si>
  <si>
    <t>Taichi Bubble Tea (Jackson)</t>
  </si>
  <si>
    <t>Wing Yee</t>
  </si>
  <si>
    <t>taichibubbleteajax@gmail.com</t>
  </si>
  <si>
    <t>Taichi Bubble Tea, Ramen and Poke Bowl (Jacksonville)</t>
  </si>
  <si>
    <t>Amy</t>
  </si>
  <si>
    <t>Chen</t>
  </si>
  <si>
    <t>amychen1993@yahoo.com</t>
  </si>
  <si>
    <t>MANAGER, STORE OPERATOR</t>
  </si>
  <si>
    <t>AMY</t>
  </si>
  <si>
    <t>CHEN</t>
  </si>
  <si>
    <t>taichisevernapark@yahoo.com</t>
  </si>
  <si>
    <t>Taichi Bubble Tea (Severna Park) | Taichi Bubble Tea (Crofton)</t>
  </si>
  <si>
    <t>Ben</t>
  </si>
  <si>
    <t>taichihorseheads@gmail.com</t>
  </si>
  <si>
    <t>Taichi Bubble Tea (Vestal) | Taichi Bubble Tea (Elmira)</t>
  </si>
  <si>
    <t>CAIYAO</t>
  </si>
  <si>
    <t>taichicrofton@yahoo.com</t>
  </si>
  <si>
    <t>Jiabing</t>
  </si>
  <si>
    <t>taichiannapolis@yahoo.com</t>
  </si>
  <si>
    <t>Taichi Bubble Tea (Annapolis)</t>
  </si>
  <si>
    <t>JIABING</t>
  </si>
  <si>
    <t>taichifreedom@yahoo.com</t>
  </si>
  <si>
    <t>Taichi Bubble Tea (Sykesville)</t>
  </si>
  <si>
    <t>Qiang</t>
  </si>
  <si>
    <t>watertowntaichitea@yahoo.com</t>
  </si>
  <si>
    <t>Taichi Bubble Tea (Watertown)</t>
  </si>
  <si>
    <t>Wei</t>
  </si>
  <si>
    <t>taichiteamarietta@gmail.com</t>
  </si>
  <si>
    <t>Taichi Bubble Tea (Marietta)</t>
  </si>
  <si>
    <t>xin</t>
  </si>
  <si>
    <t>chen</t>
  </si>
  <si>
    <t>taichibubbletea78@gmail.com</t>
  </si>
  <si>
    <t>Taichi Bubble Tea  (Transit Road)</t>
  </si>
  <si>
    <t>Zining</t>
  </si>
  <si>
    <t>zining.taichitea@gmail.com</t>
  </si>
  <si>
    <t>34631365,785645,26008539,24603135,24686949,40446895,35540217,30086866,24886734,1549392,2816422,308244,23366616,25104749,24328608,24165589,25487498,32844989,33738137,2512429,1808650,801843,25308292,23177241,39734083,28236597,1595762,24337081,26288605,30923400,31565371,1083912,27678121,24463485,30178546,772709,2816430,34449285,40446697,970661,30702433,30320691,25055566,25806593,702897,1186559,757275,24603182,23550888,27810403,30979967,38204681,772550,38654725,24747397,33158695,23394272,34881545</t>
  </si>
  <si>
    <t>Taichi Bubble Tea (Dewitt) | Taichi Bubble Tea (Glen Mills) | Taichi Bubble Tea (Exton) | Taichi Bubble Tea (Utica) | Taichi Bubble Tea (Broad St) | Taichi Bubble Tea (Pittsford) | Tai Chi Bubble Tea (Middletown) | Taichi Bubble Tea (Sioux Falls) | Taichi Bubble Tea (Crofton) | Taichi Bubble Tea (Georgetown) | Taichi Bubble Tea (Greece)  | Taichi Bubble Tea (Marietta) | Taichi Bubble Tea (Stonybrook) | Taichi Bubble Tea (E Broadway Blvd) | Taichi Bubble Tea (Elmira) | Taichi Bubble Tea (Frederick) | Taichi Bubble Tea (Columbia Crossing Cir) | Taichi Bubble Tea (Ithaca) | Tai Chi Bubble Tea (North Ave) | Taichi Bubble Tea (Victor) | Taichi Bubble Tea (Peachtree Corners) | Taichi Bubble Tea (Bel Air) | Taichi Bubble Tea (Watkins Glen) | Taichi Bubble Tea (Annapolis) | Tai Chi Bubble Tea (E State St) | Taichi Bubble Tea (Watertown) | TaiChi Bubble Tea (E 3rd St) | Taichi Bubble Tea (New Haven) | Taichi Bubble Tea (Irondequoit) | Taichi Bubble Tea (Sykesville) | Taichi Bubble Tea (Decatur) | Tai Chi Bubble Tea (Woods Mill Plz) | Taichi Bubble Tea (Wichita) | Taichi Bubble Tea (Tonawanda) | Taichi Bubble Tea (Briarcliff Rd) | Taichi Bubble Tea (Nyack) | Taichi Bubble Tea/Ramen/Hibachi (Milwaukee)  | Taichi Bubble Tea (Danbury) | Taichi Bubble Tea (Chicago) | Taichi Bubble Tea (Bronx) | Taichi Bubble Tea (Niagara Falls) | Taichi Bubble Tea (Mt Pleasant) | Taichi Bubble Tea (East Ave) | Taichi Bubble Tea (Vestal) | Taichi Bubble Tea, Ramen and Poke Bowl (Jacksonville) | Taichi Bubble Tea (Latham) | Taichi Bubble Tea (Henrietta) | Taichi Bubble Tea (Jackson) | Taichi Bubble Tea (UA Albany) | Taichi Bubble Tea (Mt. Prospect) | Taichi Bubble Tea (Sacramento) | Taichi Bubble Tea (Provo) | Taichi Bubble Tea (College Town) | Taichi Bubble Tea (Gunbarrel Rd) | Taichi Bubble Tea (Oklahoma City) | Taichi Bubble Tea (Syracuse) | Taichi Bubble Tea  (Transit Road) | Taichi Bubble Tea (Severna Park)</t>
  </si>
  <si>
    <t>Xiao</t>
  </si>
  <si>
    <t>chenxy1979@gmail.com</t>
  </si>
  <si>
    <t>Taichi Bubble Tea (Georgetown)</t>
  </si>
  <si>
    <t>Maggie</t>
  </si>
  <si>
    <t>Cheng</t>
  </si>
  <si>
    <t>mcds7986@gmail.com</t>
  </si>
  <si>
    <t>Tai Chi Bubble Tea (Woods Mill Plz)</t>
  </si>
  <si>
    <t>Mengqiu</t>
  </si>
  <si>
    <t>Chi</t>
  </si>
  <si>
    <t>taichiteaithaca@gmail.com</t>
  </si>
  <si>
    <t>Taichi Bubble Tea (Ithaca)</t>
  </si>
  <si>
    <t>Tai Chi Bubble Tea</t>
  </si>
  <si>
    <t>Employee</t>
  </si>
  <si>
    <t>bintaichitea@gmail.com</t>
  </si>
  <si>
    <t>Taichi Bubble Tea (Briarcliff Rd)</t>
  </si>
  <si>
    <t>qingkexia@gmail.com</t>
  </si>
  <si>
    <t>Taichi Bubble Tea (Broad St) | Taichi Bubble Tea (Tonawanda) | Taichi Bubble Tea (College Town) | Taichi Bubble Tea (Henrietta)</t>
  </si>
  <si>
    <t>Feng</t>
  </si>
  <si>
    <t>H</t>
  </si>
  <si>
    <t>taichichicago6800@gmail.com</t>
  </si>
  <si>
    <t>Taichi Bubble Tea (Chicago)</t>
  </si>
  <si>
    <t>Wayne</t>
  </si>
  <si>
    <t>Huang</t>
  </si>
  <si>
    <t>taichicolumbiainc@gmail.com</t>
  </si>
  <si>
    <t>Taichi Bubble Tea (Columbia Crossing Cir)</t>
  </si>
  <si>
    <t>Zhi Qiang</t>
  </si>
  <si>
    <t>niagarafallstaichi@gmail.com</t>
  </si>
  <si>
    <t>Taichi Bubble Tea (Niagara Falls)</t>
  </si>
  <si>
    <t>Cindy</t>
  </si>
  <si>
    <t>Jiang</t>
  </si>
  <si>
    <t>dewitttaichi@gmail.com</t>
  </si>
  <si>
    <t>Taichi Bubble Tea (Dewitt)</t>
  </si>
  <si>
    <t>John</t>
  </si>
  <si>
    <t>stonybrooktaichitea@gmail.com</t>
  </si>
  <si>
    <t>Taichi Bubble Tea (Stonybrook)</t>
  </si>
  <si>
    <t>Li Feng</t>
  </si>
  <si>
    <t>jennyou2777@icloud.com</t>
  </si>
  <si>
    <t>Taichi Bubble Tea (Bronx)</t>
  </si>
  <si>
    <t>Nichole</t>
  </si>
  <si>
    <t>lifengjiang1888@icloud.com</t>
  </si>
  <si>
    <t>Qin Guan</t>
  </si>
  <si>
    <t>buffalotaichitea@gmail.com</t>
  </si>
  <si>
    <t>Taichi Bubble Tea (Tonawanda)</t>
  </si>
  <si>
    <t>Qiu</t>
  </si>
  <si>
    <t>taichisyracuse@gmail.com</t>
  </si>
  <si>
    <t>Taichi Bubble Tea (Syracuse)</t>
  </si>
  <si>
    <t>Rong fang</t>
  </si>
  <si>
    <t>hellotaichione@gmail.com</t>
  </si>
  <si>
    <t>Taichi Bubble Tea (Glen Mills)</t>
  </si>
  <si>
    <t>Sarah</t>
  </si>
  <si>
    <t>taichieastviewmall@gmail.com</t>
  </si>
  <si>
    <t>Taichi Bubble Tea (Victor)</t>
  </si>
  <si>
    <t>Shui</t>
  </si>
  <si>
    <t>Jin ou</t>
  </si>
  <si>
    <t>jennyou2777@gmail.com</t>
  </si>
  <si>
    <t>Jin Ou</t>
  </si>
  <si>
    <t>jennyouipad@icloud.com</t>
  </si>
  <si>
    <t>Taichi</t>
  </si>
  <si>
    <t>Latham</t>
  </si>
  <si>
    <t>taichitealatham@gmail.com</t>
  </si>
  <si>
    <t>Taichi Bubble Tea (Latham)</t>
  </si>
  <si>
    <t>Jessie</t>
  </si>
  <si>
    <t>Li</t>
  </si>
  <si>
    <t>qiongli725@gmail.com</t>
  </si>
  <si>
    <t>Taichi Bubble Tea (Pittsford)</t>
  </si>
  <si>
    <t>taichiteagusto@gmail.com</t>
  </si>
  <si>
    <t>Taichi Bubble Tea (Mt. Prospect)</t>
  </si>
  <si>
    <t>Owem</t>
  </si>
  <si>
    <t>taichiteaokc@gmail.com</t>
  </si>
  <si>
    <t>Taichi Bubble Tea (Oklahoma City)</t>
  </si>
  <si>
    <t>Owen</t>
  </si>
  <si>
    <t>owenli3315@gmail.com</t>
  </si>
  <si>
    <t>taichibeverage@gmail.com</t>
  </si>
  <si>
    <t>Taichi Bubble Tea (Henrietta)</t>
  </si>
  <si>
    <t>taichiteadecatur@gmail.com</t>
  </si>
  <si>
    <t>Taichi Bubble Tea (Decatur)</t>
  </si>
  <si>
    <t>yijia.taichitea@gmail.com</t>
  </si>
  <si>
    <t>25104749,2512429,23550888,34881545,24463485,24747397,30178546,38204681,757275,25806593,25055566,23366616,28236597,30320691,772709,24328608,27810403,24337081,39734083,24165589,772550,1549392,27678121,32844989,23177241,2816430,31565371,35540217,785645,801843,30923400,33158695,1595762,26008539,40446697,34631365,702897,30086866,24603182,2816422,1808650,30979967,24886734,1186559,33738137,38654725,25487498,24603135,970661,1083912,40446895,23394272,24686949,30702433,25308292,308244,26288605,34449285</t>
  </si>
  <si>
    <t>Taichi Bubble Tea (Mt. Prospect) | Taichi Bubble Tea (Oklahoma City) | Taichi Bubble Tea (Niagara Falls) | Taichi Bubble Tea (Greece)  | Taichi Bubble Tea (Watertown) | Taichi Bubble Tea (Latham) | Taichi Bubble Tea (Gunbarrel Rd) | Tai Chi Bubble Tea (Middletown) | Taichi Bubble Tea (Frederick) | Taichi Bubble Tea (Danbury) | Taichi Bubble Tea (Elmira) | Taichi Bubble Tea (Exton) | Taichi Bubble Tea (Decatur) | Taichi Bubble Tea (East Ave) | Taichi Bubble Tea (E Broadway Blvd) | Taichi Bubble Tea, Ramen and Poke Bowl (Jacksonville) | Taichi Bubble Tea (Briarcliff Rd) | Tai Chi Bubble Tea (Woods Mill Plz) | Taichi Bubble Tea (Peachtree Corners) | Taichi Bubble Tea (UA Albany) | Taichi Bubble Tea (Victor) | Taichi Bubble Tea (Bel Air) | Taichi Bubble Tea (College Town) | Taichi Bubble Tea/Ramen/Hibachi (Milwaukee)  | Taichi Bubble Tea (Syracuse) | Taichi Bubble Tea (Columbia Crossing Cir) | Taichi Bubble Tea (Broad St) | Tai Chi Bubble Tea (North Ave) | Taichi Bubble Tea (Irondequoit) | Taichi Bubble Tea (Mt Pleasant) | Taichi Bubble Tea (Marietta) | Taichi Bubble Tea (Jackson) | Taichi Bubble Tea (Henrietta) | Taichi Bubble Tea (Bronx) | TaiChi Bubble Tea (E 3rd St) | Taichi Bubble Tea (Glen Mills) | Taichi Bubble Tea (New Haven) | Taichi Bubble Tea (Chicago) | Taichi Bubble Tea (Pittsford) | Taichi Bubble Tea (Severna Park) | Taichi Bubble Tea (Watkins Glen) | Taichi Bubble Tea (Utica) | Taichi Bubble Tea (Crofton) | Taichi Bubble Tea (Sioux Falls) | Taichi Bubble Tea (Sacramento) | Taichi Bubble Tea (Dewitt) | Taichi Bubble Tea (Vestal) | Taichi Bubble Tea (Georgetown) | Taichi Bubble Tea (Stonybrook) | Tai Chi Bubble Tea (E State St) | Taichi Bubble Tea (Tonawanda) | Taichi Bubble Tea (Ithaca) | Taichi Bubble Tea (Nyack) | Taichi Bubble Tea (Annapolis) | Taichi Bubble Tea (Provo) | Taichi Bubble Tea (Sykesville) | Taichi Bubble Tea (Wichita) | Taichi Bubble Tea  (Transit Road)</t>
  </si>
  <si>
    <t>Tony</t>
  </si>
  <si>
    <t>liyu3231@gmail.com</t>
  </si>
  <si>
    <t>Andy</t>
  </si>
  <si>
    <t>LIN</t>
  </si>
  <si>
    <t>aj41886@gmail.com</t>
  </si>
  <si>
    <t>Taichi Bubble Tea (E Broadway Blvd)</t>
  </si>
  <si>
    <t>Dian</t>
  </si>
  <si>
    <t>Lin</t>
  </si>
  <si>
    <t>taichiteamiddletown@gmail.com</t>
  </si>
  <si>
    <t>Tai Chi Bubble Tea (Middletown)</t>
  </si>
  <si>
    <t>Henry</t>
  </si>
  <si>
    <t>watkinsglentaichi@gmail.com</t>
  </si>
  <si>
    <t>Taichi Bubble Tea (Watkins Glen)</t>
  </si>
  <si>
    <t>HONGKAI</t>
  </si>
  <si>
    <t>taichigreecemall@gmail.com</t>
  </si>
  <si>
    <t>Taichi Bubble Tea (Greece)</t>
  </si>
  <si>
    <t>Jason</t>
  </si>
  <si>
    <t>taichiatlantaga@gmail.com</t>
  </si>
  <si>
    <t>Taichi Bubble Tea (Peachtree Corners)</t>
  </si>
  <si>
    <t>taichialbanyua@gmail.com</t>
  </si>
  <si>
    <t>Taichi Bubble Tea (UA Albany)</t>
  </si>
  <si>
    <t>Lily</t>
  </si>
  <si>
    <t>lily67616@gmail.com</t>
  </si>
  <si>
    <t>Taichi Bubble Tea (Sacramento)</t>
  </si>
  <si>
    <t>Tom</t>
  </si>
  <si>
    <t>taichidanbury@gmail.com</t>
  </si>
  <si>
    <t>Taichi Bubble Tea (Danbury) | Taichi Bubble Tea (Nyack)</t>
  </si>
  <si>
    <t>taichiteanyack@gmail.com</t>
  </si>
  <si>
    <t>Taichi Bubble Tea (Nyack)</t>
  </si>
  <si>
    <t>Yan Juan</t>
  </si>
  <si>
    <t>yanlin8686@gmail.com</t>
  </si>
  <si>
    <t>Taichi Bubble Tea (Bel Air)</t>
  </si>
  <si>
    <t>Yidi</t>
  </si>
  <si>
    <t>taichitea.3rdpartyorders@gmail.com</t>
  </si>
  <si>
    <t>taichiteatucson@gmail.com</t>
  </si>
  <si>
    <t>Shumin</t>
  </si>
  <si>
    <t>Lu</t>
  </si>
  <si>
    <t>shuminlu@gmail.com</t>
  </si>
  <si>
    <t>Jianming</t>
  </si>
  <si>
    <t>Mei</t>
  </si>
  <si>
    <t>taichi.milwaukee001@gmail.com</t>
  </si>
  <si>
    <t>Taichi Bubble Tea/Ramen/Hibachi (Milwaukee)</t>
  </si>
  <si>
    <t>Jacob</t>
  </si>
  <si>
    <t>Ouyang</t>
  </si>
  <si>
    <t>taichinewhaven@gmail.com</t>
  </si>
  <si>
    <t>Taichi Bubble Tea (New Haven)</t>
  </si>
  <si>
    <t>Zongpeng</t>
  </si>
  <si>
    <t>taichiithacacommon@gmail.com</t>
  </si>
  <si>
    <t>Tai Chi Bubble Tea (E State St)</t>
  </si>
  <si>
    <t>Sean</t>
  </si>
  <si>
    <t>Phiethep</t>
  </si>
  <si>
    <t>taichiirondequoit@gmail.com</t>
  </si>
  <si>
    <t>Taichi Bubble Tea (Irondequoit)</t>
  </si>
  <si>
    <t>Huiping</t>
  </si>
  <si>
    <t>Qi</t>
  </si>
  <si>
    <t>taichiteachicago@gmail.com</t>
  </si>
  <si>
    <t>LINDA</t>
  </si>
  <si>
    <t>REILLY</t>
  </si>
  <si>
    <t>taichibubble043@gmail.com</t>
  </si>
  <si>
    <t>Grace</t>
  </si>
  <si>
    <t>Sun</t>
  </si>
  <si>
    <t>pabethlehem@taichirestaurants.com</t>
  </si>
  <si>
    <t>TaiChi Bubble Tea (E 3rd St)</t>
  </si>
  <si>
    <t>Susy</t>
  </si>
  <si>
    <t>susy.taichitea@gmail.com</t>
  </si>
  <si>
    <t>Stephanie</t>
  </si>
  <si>
    <t>T</t>
  </si>
  <si>
    <t>seanphiet82@yahoo.com</t>
  </si>
  <si>
    <t>Fei</t>
  </si>
  <si>
    <t>taichimichigan1035@gmail.com</t>
  </si>
  <si>
    <t>Taichi Bubble Tea (Mt Pleasant)</t>
  </si>
  <si>
    <t>Tea</t>
  </si>
  <si>
    <t>taichieastave@gmail.com</t>
  </si>
  <si>
    <t>Taichi Bubble Tea (East Ave)</t>
  </si>
  <si>
    <t>Mengshun</t>
  </si>
  <si>
    <t>Wang</t>
  </si>
  <si>
    <t>fredericktaichi168@gmail.com</t>
  </si>
  <si>
    <t>Taichi Bubble Tea (Frederick)</t>
  </si>
  <si>
    <t>Yufeng</t>
  </si>
  <si>
    <t>taichinewrochelle@gmail.com</t>
  </si>
  <si>
    <t>Tai Chi Bubble Tea (North Ave)</t>
  </si>
  <si>
    <t>James</t>
  </si>
  <si>
    <t>Weng</t>
  </si>
  <si>
    <t>taichichattanoogadowntown@gmail.com</t>
  </si>
  <si>
    <t>Taichi Bubble Tea (Broad St)</t>
  </si>
  <si>
    <t>Mia</t>
  </si>
  <si>
    <t>miaweng328@gmail.com</t>
  </si>
  <si>
    <t>Taichi Bubble Tea (Sioux Falls)</t>
  </si>
  <si>
    <t>Xiaoyan</t>
  </si>
  <si>
    <t>taichi12033@gmail.com</t>
  </si>
  <si>
    <t>yan</t>
  </si>
  <si>
    <t>weng</t>
  </si>
  <si>
    <t>taichigunbarrel@gmail.com</t>
  </si>
  <si>
    <t>Taichi Bubble Tea (Gunbarrel Rd)</t>
  </si>
  <si>
    <t>Facheng</t>
  </si>
  <si>
    <t>Wu</t>
  </si>
  <si>
    <t>taichiteaextonpa@gmail.com</t>
  </si>
  <si>
    <t>Taichi Bubble Tea (Exton)</t>
  </si>
  <si>
    <t>Si</t>
  </si>
  <si>
    <t>edisonxiao463@yahoo.com</t>
  </si>
  <si>
    <t>Yang</t>
  </si>
  <si>
    <t>taichiutica@gmail.com</t>
  </si>
  <si>
    <t>Taichi Bubble Tea (Utica)</t>
  </si>
  <si>
    <t>Kevin</t>
  </si>
  <si>
    <t>Ye</t>
  </si>
  <si>
    <t>yekevin15@gmail.com</t>
  </si>
  <si>
    <t>Dan</t>
  </si>
  <si>
    <t>Yuan</t>
  </si>
  <si>
    <t>yuandan0728@gmail.com</t>
  </si>
  <si>
    <t>Yuki</t>
  </si>
  <si>
    <t>Zhang</t>
  </si>
  <si>
    <t>yukizhangguo@gmail.com</t>
  </si>
  <si>
    <t>Taichi Bubble Tea (Wichita)</t>
  </si>
  <si>
    <t>yukizhang87234@hotmail.com</t>
  </si>
  <si>
    <t>Jinjin</t>
  </si>
  <si>
    <t>Zhu</t>
  </si>
  <si>
    <t>jacob.taichitea@gmail.com</t>
  </si>
  <si>
    <t>ouxi</t>
  </si>
  <si>
    <t>zhu</t>
  </si>
  <si>
    <t>ouxi.zhu@gmail.com</t>
  </si>
  <si>
    <t>Taichi Bubble Tea (Provo)</t>
  </si>
  <si>
    <t>Ouxi</t>
  </si>
  <si>
    <t>taichiprovo1280@gmail.com</t>
  </si>
  <si>
    <t>Monica</t>
  </si>
  <si>
    <t>Cuza</t>
  </si>
  <si>
    <t>mcuza@bodegataqueria.com</t>
  </si>
  <si>
    <t>Pizza Bar South Beach (1627 Collins Ave)</t>
  </si>
  <si>
    <t>Mileydis</t>
  </si>
  <si>
    <t>Diaz</t>
  </si>
  <si>
    <t>mdiaz@bodegataqueria.com</t>
  </si>
  <si>
    <t>Jeffrey</t>
  </si>
  <si>
    <t>Kohn</t>
  </si>
  <si>
    <t>jkohn@pizzabar.com</t>
  </si>
  <si>
    <t>Roden</t>
  </si>
  <si>
    <t>Pangilinan</t>
  </si>
  <si>
    <t>rpangilinan@bodegataqueria.com</t>
  </si>
  <si>
    <t>Katy</t>
  </si>
  <si>
    <t>Prellezo</t>
  </si>
  <si>
    <t>kprellezo@bodegataqueria.com</t>
  </si>
  <si>
    <t>Mike</t>
  </si>
  <si>
    <t>Sajaja</t>
  </si>
  <si>
    <t>cafealaddins@yahoo.com</t>
  </si>
  <si>
    <t>Petra Mediterranean Restaurant (New Albany)</t>
  </si>
  <si>
    <t>mediterraneancuisine101@gmail.com</t>
  </si>
  <si>
    <t>thephillystop@gmail.com</t>
  </si>
  <si>
    <t>Philly's A Taste Of Philadelphia (North St) | Philly's Groton (Route 12) | Philly's A Taste Of Philadelphia (Sherman St)-</t>
  </si>
  <si>
    <t>Emad</t>
  </si>
  <si>
    <t>Khalyleh</t>
  </si>
  <si>
    <t>7177201@gmail.com</t>
  </si>
  <si>
    <t>7 star</t>
  </si>
  <si>
    <t>pizza</t>
  </si>
  <si>
    <t>07starpizza@gmail.com</t>
  </si>
  <si>
    <t>Adiel</t>
  </si>
  <si>
    <t>Pelayo</t>
  </si>
  <si>
    <t>puandro@gmail.com</t>
  </si>
  <si>
    <t>Taqueria El Cazador (Triana Blvd SW) | Hazel Green (US 431) | Parkway (Memorial Pkwy) | Stovehouse (Governors Dr SW) | Limestone (U.S. 72) | Taqueria El Cazador (Governors Dr SW) | Highway 72 (Highway 72 West) | Hampton Cove (Taylor Rd)</t>
  </si>
  <si>
    <t>Filiberto</t>
  </si>
  <si>
    <t>tacoelcazador@gmail.com</t>
  </si>
  <si>
    <t>Stovehouse (Governors Dr SW) | Parkway (Memorial Pkwy) | Limestone (U.S. 72) | Hampton Cove (Taylor Rd) | Taqueria El Cazador (Governors Dr SW) | Hazel Green (US 431) | Taqueria El Cazador (Triana Blvd SW) | Highway 72 (Highway 72 West)</t>
  </si>
  <si>
    <t>Alan</t>
  </si>
  <si>
    <t>Ramirez</t>
  </si>
  <si>
    <t>seasalthealthykitchen19@gmail.com</t>
  </si>
  <si>
    <t>Sea Salt Healthy Kitchen (Retreat Plz)</t>
  </si>
  <si>
    <t>Raj</t>
  </si>
  <si>
    <t>Gautam</t>
  </si>
  <si>
    <t>jaxspicefamily@gmail.com</t>
  </si>
  <si>
    <t>JaxSpice (Fountains Way) | JaxSpice (Gate Parkway) | JaxSpice (Jacksonville Beach)</t>
  </si>
  <si>
    <t>Rajeev</t>
  </si>
  <si>
    <t>jaxspicefamily@jaxspice.com</t>
  </si>
  <si>
    <t>JaxSpice (Jacksonville Beach) | JaxSpice (Fountains Way) | JaxSpice (Gate Parkway)</t>
  </si>
  <si>
    <t>Vishal</t>
  </si>
  <si>
    <t>Girdhani</t>
  </si>
  <si>
    <t>vishalg@kmkventures.com</t>
  </si>
  <si>
    <t>mohsoliman1@gmail.com</t>
  </si>
  <si>
    <t>Shawarma King (4337 University Way) | Shawarma King (5241 University Way NE)</t>
  </si>
  <si>
    <t>Tacos El Regio (Nacogdoches Rd)</t>
  </si>
  <si>
    <t>tacoselregionacogdoches@gmail.com</t>
  </si>
  <si>
    <t>Robb</t>
  </si>
  <si>
    <t>Penn</t>
  </si>
  <si>
    <t>robbpenn@hotmail.com</t>
  </si>
  <si>
    <t>Tacos El Regio (St Mary's) | Tacos El Regio #5</t>
  </si>
  <si>
    <t>Fernando</t>
  </si>
  <si>
    <t>Quintanilla</t>
  </si>
  <si>
    <t>owner@tacoselregiosatx.com</t>
  </si>
  <si>
    <t>ADMIN, BUSINESS GROUP ADMIN</t>
  </si>
  <si>
    <t>Tacos El Regio (Nacogdoches Rd) | Tacos El Regio inside SLACKERS Bar &amp; Grill | Tacos El Regio (Lombrano) | TACOS EL REGIO (Potranco Rd) | Tacos El Regio (St Mary's) | Tacos El Regio #5  | Tacos El Regio - N Alamo St</t>
  </si>
  <si>
    <t>Zaiyun</t>
  </si>
  <si>
    <t>zhuzaiyun1981@gmail.com</t>
  </si>
  <si>
    <t>Happy House Chinese Food (S Memorial Dr)</t>
  </si>
  <si>
    <t>Terrence</t>
  </si>
  <si>
    <t>Jeffery</t>
  </si>
  <si>
    <t>shakebackslaf@yahoo.com</t>
  </si>
  <si>
    <t>ShakeBacks Onsite (Girard Park) | ShakeBacks (W Congress St)</t>
  </si>
  <si>
    <t>Hussein</t>
  </si>
  <si>
    <t>Aldabashi</t>
  </si>
  <si>
    <t>halalburgersmore@gmail.com</t>
  </si>
  <si>
    <t>Halal Burgers #4 (160 14th St.) | ZOCO | Halal Burgers &amp; More 2 | Halal Burgers and More (6th St.)</t>
  </si>
  <si>
    <t>zoco.bayarea@gmail.com</t>
  </si>
  <si>
    <t>ZOCO</t>
  </si>
  <si>
    <t>Ammar</t>
  </si>
  <si>
    <t>Algaradi</t>
  </si>
  <si>
    <t>ammar.algaradi@outlook.com</t>
  </si>
  <si>
    <t>8 Bit Bites (Court St) | 8 Bit Bites (2nd Ave) | 8-Bit Bites (Lexington Ave)</t>
  </si>
  <si>
    <t>Ali</t>
  </si>
  <si>
    <t>safinaz.norman.ali@gmail.com</t>
  </si>
  <si>
    <t>8 Bit Bites (2nd Ave) | 8-Bit Bites (Lexington Ave) | 8 Bit Bites (Court St)</t>
  </si>
  <si>
    <t>Kamaal</t>
  </si>
  <si>
    <t>Brown</t>
  </si>
  <si>
    <t>kamaal.brownbf@gmail.com</t>
  </si>
  <si>
    <t>BUSINESS GROUP ADMIN, ADMIN</t>
  </si>
  <si>
    <t>8-Bit Bites (Lexington Ave) | 8 Bit Bites (2nd Ave) | 8 Bit Bites (Court St)</t>
  </si>
  <si>
    <t>Steven</t>
  </si>
  <si>
    <t>Prieto</t>
  </si>
  <si>
    <t>steven8bit@gmail.com</t>
  </si>
  <si>
    <t>8 Bit Bites (2nd Ave)</t>
  </si>
  <si>
    <t>Danny</t>
  </si>
  <si>
    <t>nguy127@gmail.com</t>
  </si>
  <si>
    <t>Pho Hoang (ARCATA)</t>
  </si>
  <si>
    <t>Operator</t>
  </si>
  <si>
    <t>CecilBMoore</t>
  </si>
  <si>
    <t>owlbreakfastlunchcecilbmooreave@owlbreakoperations.com</t>
  </si>
  <si>
    <t>Owl Breakfast &amp; Lunch (Cecil B. Moore Ave)</t>
  </si>
  <si>
    <t>Owl</t>
  </si>
  <si>
    <t>HQ</t>
  </si>
  <si>
    <t>owlbreak-hq@owlbreakoperations.com</t>
  </si>
  <si>
    <t>owlbreak-hq@owlbreakops.com</t>
  </si>
  <si>
    <t>Rob</t>
  </si>
  <si>
    <t>Kang</t>
  </si>
  <si>
    <t>owlbreakfastlunch@gmail.com</t>
  </si>
  <si>
    <t>Puma</t>
  </si>
  <si>
    <t>dpuma+owl@chowly.com</t>
  </si>
  <si>
    <t>Aaron</t>
  </si>
  <si>
    <t>Whitelaw</t>
  </si>
  <si>
    <t>awhitelaw+owl@chowlyinc.com</t>
  </si>
  <si>
    <t>Jesus</t>
  </si>
  <si>
    <t>Cano</t>
  </si>
  <si>
    <t>elbotascano@gmail.com</t>
  </si>
  <si>
    <t>Taco de oro (Cortez Blvd) | Taco De Oro #2 | Taco De Oro #4 | Taco De Oro #3 | Taco De Oro #5</t>
  </si>
  <si>
    <t>andyye0730@gmail.com</t>
  </si>
  <si>
    <t>ye1983weitow@yahoo.com</t>
  </si>
  <si>
    <t>rifat</t>
  </si>
  <si>
    <t>khalid@dudeschicken.com</t>
  </si>
  <si>
    <t>Dude’s Chicken &amp; Momo - Halal</t>
  </si>
  <si>
    <t>Rifat</t>
  </si>
  <si>
    <t>khalidrifat01@outlook.com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</si>
</sst>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0.0"/>
    <numFmt numFmtId="166" formatCode="m/d/yyyy"/>
    <numFmt numFmtId="167" formatCode="yyyy-mm-dd h:mm:ss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color rgb="FF0000FF"/>
    </font>
    <font>
      <u/>
      <color rgb="FF0000FF"/>
    </font>
    <font>
      <sz val="11.0"/>
      <color rgb="FF1D1C1D"/>
      <name val="Slack-Lato"/>
    </font>
    <font>
      <sz val="11.0"/>
      <color rgb="FF5E5E5E"/>
      <name val="Google Sans"/>
    </font>
    <font>
      <color theme="1"/>
      <name val="Arial"/>
    </font>
    <font>
      <u/>
      <color theme="1"/>
      <name val="Arial"/>
    </font>
    <font>
      <u/>
      <color theme="1"/>
      <name val="Arial"/>
      <scheme val="minor"/>
    </font>
    <font>
      <u/>
      <color rgb="FF0000FF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0" fillId="0" fontId="7" numFmtId="165" xfId="0" applyAlignment="1" applyFont="1" applyNumberFormat="1">
      <alignment horizontal="right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horizontal="right" readingOrder="0" vertical="bottom"/>
    </xf>
    <xf borderId="0" fillId="0" fontId="1" numFmtId="166" xfId="0" applyAlignment="1" applyFont="1" applyNumberFormat="1">
      <alignment readingOrder="0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164" xfId="0" applyAlignment="1" applyFont="1" applyNumberFormat="1">
      <alignment horizontal="right" readingOrder="0" vertical="bottom"/>
    </xf>
    <xf borderId="0" fillId="0" fontId="7" numFmtId="165" xfId="0" applyAlignment="1" applyFont="1" applyNumberFormat="1">
      <alignment horizontal="right" readingOrder="0" vertical="bottom"/>
    </xf>
    <xf borderId="0" fillId="0" fontId="1" numFmtId="167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ohamad Elgendi" id="{04cd8a73-e94f-4959-a7ca-8a364478218d}" providerId="google-sheets"/>
  <x18tc:person displayName="Vickie Hua" id="{8a854614-c461-43e6-b48c-ae6154e3071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8" dT="2026-02-09T04:49:54.00" personId="{04cd8a73-e94f-4959-a7ca-8a364478218d}" id="{c2dd542f-6c46-48e5-8036-f407c8d58216}" done="0">
    <x18tc:text xml:space="preserve">Recommend them</x18tc:text>
  </x18tc:threadedComment>
  <x18tc:threadedComment ref="A8" dT="2026-02-09T15:18:40.00" personId="{8a854614-c461-43e6-b48c-ae6154e3071a}" id="{bc0c2895-e11a-4c85-99f3-eb674a932ce0}" parentId="{c2dd542f-6c46-48e5-8036-f407c8d58216}">
    <x18tc:text xml:space="preserve">Yes if I can get you to connect please they did not show up LOL</x18tc:text>
  </x18tc:threadedComment>
  <x18tc:threadedComment ref="K1" dT="2026-02-09T04:50:25.00" personId="{04cd8a73-e94f-4959-a7ca-8a364478218d}" id="{41b0940d-9dfd-4ec4-a38c-8c87d2e75592}" done="0">
    <x18tc:text xml:space="preserve">QQ: is this Cx engagement on IG or Mx engagement with us/how cooperative they'll be?</x18tc:text>
  </x18tc:threadedComment>
  <x18tc:threadedComment ref="K1" dT="2026-02-09T15:18:15.00" personId="{8a854614-c461-43e6-b48c-ae6154e3071a}" id="{992290ee-7035-4537-b7bd-55d0351d3c5b}" parentId="{41b0940d-9dfd-4ec4-a38c-8c87d2e75592}">
    <x18tc:text xml:space="preserve">Cx engagement on IG!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teejayescountryplace/" TargetMode="External"/><Relationship Id="rId10" Type="http://schemas.openxmlformats.org/officeDocument/2006/relationships/hyperlink" Target="https://www.instagram.com/falafelcornerdowntown/?hl=en" TargetMode="External"/><Relationship Id="rId13" Type="http://schemas.openxmlformats.org/officeDocument/2006/relationships/hyperlink" Target="https://www.instagram.com/tionacho_nyc/?hl=en" TargetMode="External"/><Relationship Id="rId12" Type="http://schemas.openxmlformats.org/officeDocument/2006/relationships/hyperlink" Target="https://www.instagram.com/halalexpressnj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instagram.com/losocamporestaurants/" TargetMode="External"/><Relationship Id="rId9" Type="http://schemas.openxmlformats.org/officeDocument/2006/relationships/hyperlink" Target="https://www.instagram.com/jaliscoscatering/" TargetMode="External"/><Relationship Id="rId15" Type="http://schemas.openxmlformats.org/officeDocument/2006/relationships/hyperlink" Target="https://www.instagram.com/kaisendon1939/" TargetMode="External"/><Relationship Id="rId14" Type="http://schemas.openxmlformats.org/officeDocument/2006/relationships/hyperlink" Target="https://www.instagram.com/323hibachigrill/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www.instagram.com/thai.cortez/" TargetMode="External"/><Relationship Id="rId5" Type="http://schemas.openxmlformats.org/officeDocument/2006/relationships/hyperlink" Target="https://www.instagram.com/lacocina_nj/?hl=en" TargetMode="External"/><Relationship Id="rId6" Type="http://schemas.openxmlformats.org/officeDocument/2006/relationships/hyperlink" Target="https://www.instagram.com/burgerbunla/" TargetMode="External"/><Relationship Id="rId18" Type="http://schemas.openxmlformats.org/officeDocument/2006/relationships/vmlDrawing" Target="../drawings/vmlDrawing1.vml"/><Relationship Id="rId7" Type="http://schemas.openxmlformats.org/officeDocument/2006/relationships/hyperlink" Target="https://www.instagram.com/tasteofchelo/" TargetMode="External"/><Relationship Id="rId8" Type="http://schemas.openxmlformats.org/officeDocument/2006/relationships/hyperlink" Target="https://www.instagram.com/sumoramenmarketcity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mohamad.elgendi@doordash.com" TargetMode="External"/><Relationship Id="rId2" Type="http://schemas.openxmlformats.org/officeDocument/2006/relationships/hyperlink" Target="mailto:mohamad.elgendi@doordash.com" TargetMode="External"/><Relationship Id="rId3" Type="http://schemas.openxmlformats.org/officeDocument/2006/relationships/hyperlink" Target="https://fcorner.com/" TargetMode="External"/><Relationship Id="rId4" Type="http://schemas.openxmlformats.org/officeDocument/2006/relationships/hyperlink" Target="mailto:mohamad.elgendi@doordash.com" TargetMode="External"/><Relationship Id="rId5" Type="http://schemas.openxmlformats.org/officeDocument/2006/relationships/hyperlink" Target="mailto:mohamad.elgendi@doordash.com" TargetMode="External"/><Relationship Id="rId6" Type="http://schemas.openxmlformats.org/officeDocument/2006/relationships/hyperlink" Target="mailto:mohamad.elgendi@doordash.com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7" width="20.38"/>
    <col customWidth="1" min="9" max="9" width="10.38"/>
    <col customWidth="1" min="13" max="13" width="20.5"/>
  </cols>
  <sheetData>
    <row r="1">
      <c r="A1" s="2" t="s">
        <v>5</v>
      </c>
      <c r="B1" s="2" t="s">
        <v>6</v>
      </c>
      <c r="C1" s="2" t="s">
        <v>7</v>
      </c>
      <c r="D1" s="2" t="s">
        <v>0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2" t="s">
        <v>18</v>
      </c>
      <c r="B2" s="2">
        <v>16914.0</v>
      </c>
      <c r="C2" s="3" t="s">
        <v>19</v>
      </c>
      <c r="D2" s="2" t="s">
        <v>20</v>
      </c>
      <c r="E2" s="2" t="s">
        <v>21</v>
      </c>
      <c r="F2" s="2"/>
      <c r="G2" s="2"/>
      <c r="H2" s="4" t="s">
        <v>22</v>
      </c>
      <c r="I2" s="2">
        <v>2840.0</v>
      </c>
      <c r="J2" s="2" t="s">
        <v>23</v>
      </c>
      <c r="K2" s="2" t="s">
        <v>24</v>
      </c>
      <c r="L2" s="2" t="s">
        <v>25</v>
      </c>
      <c r="M2" s="2">
        <v>960.8</v>
      </c>
      <c r="N2" s="2">
        <v>190.9</v>
      </c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2" t="s">
        <v>26</v>
      </c>
      <c r="B3" s="2">
        <v>1.4600429E7</v>
      </c>
      <c r="C3" s="3" t="s">
        <v>27</v>
      </c>
      <c r="D3" s="2" t="s">
        <v>28</v>
      </c>
      <c r="E3" s="2" t="s">
        <v>29</v>
      </c>
      <c r="F3" s="2" t="s">
        <v>29</v>
      </c>
      <c r="G3" s="2" t="s">
        <v>30</v>
      </c>
      <c r="H3" s="4" t="s">
        <v>31</v>
      </c>
      <c r="I3" s="2">
        <v>8598.0</v>
      </c>
      <c r="J3" s="2" t="s">
        <v>23</v>
      </c>
      <c r="K3" s="2" t="s">
        <v>24</v>
      </c>
      <c r="L3" s="2" t="s">
        <v>32</v>
      </c>
      <c r="M3" s="2">
        <v>231.0</v>
      </c>
      <c r="N3" s="2">
        <v>9.1</v>
      </c>
      <c r="O3" s="2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1" t="s">
        <v>33</v>
      </c>
      <c r="B4" s="1">
        <v>9186.0</v>
      </c>
      <c r="C4" s="5" t="s">
        <v>34</v>
      </c>
      <c r="D4" s="2" t="s">
        <v>35</v>
      </c>
      <c r="E4" s="2" t="s">
        <v>29</v>
      </c>
      <c r="F4" s="6" t="s">
        <v>36</v>
      </c>
      <c r="G4" s="2" t="s">
        <v>37</v>
      </c>
      <c r="H4" s="7" t="s">
        <v>38</v>
      </c>
      <c r="I4" s="1">
        <v>2422.0</v>
      </c>
      <c r="J4" s="1" t="s">
        <v>39</v>
      </c>
      <c r="K4" s="1" t="s">
        <v>24</v>
      </c>
      <c r="L4" s="1" t="s">
        <v>40</v>
      </c>
      <c r="M4" s="1">
        <v>283.9</v>
      </c>
      <c r="N4" s="1">
        <v>4.1</v>
      </c>
    </row>
    <row r="5">
      <c r="A5" s="1" t="s">
        <v>41</v>
      </c>
      <c r="B5" s="1">
        <v>547263.0</v>
      </c>
      <c r="C5" s="5" t="s">
        <v>42</v>
      </c>
      <c r="D5" s="2" t="s">
        <v>43</v>
      </c>
      <c r="E5" s="2"/>
      <c r="F5" s="2"/>
      <c r="G5" s="2"/>
      <c r="H5" s="7" t="s">
        <v>44</v>
      </c>
      <c r="I5" s="1">
        <v>7391.0</v>
      </c>
      <c r="J5" s="1" t="s">
        <v>45</v>
      </c>
      <c r="K5" s="1" t="s">
        <v>24</v>
      </c>
      <c r="L5" s="1" t="s">
        <v>46</v>
      </c>
      <c r="M5" s="1">
        <v>24.2</v>
      </c>
      <c r="N5" s="1">
        <v>0.3</v>
      </c>
    </row>
    <row r="6">
      <c r="A6" s="1" t="s">
        <v>47</v>
      </c>
      <c r="B6" s="1">
        <v>142325.0</v>
      </c>
      <c r="C6" s="5" t="s">
        <v>48</v>
      </c>
      <c r="D6" s="2" t="s">
        <v>49</v>
      </c>
      <c r="E6" s="2"/>
      <c r="F6" s="2"/>
      <c r="G6" s="2"/>
      <c r="H6" s="7" t="s">
        <v>50</v>
      </c>
      <c r="I6" s="1">
        <v>88.0</v>
      </c>
      <c r="J6" s="1" t="s">
        <v>51</v>
      </c>
      <c r="K6" s="1" t="s">
        <v>24</v>
      </c>
      <c r="L6" s="1" t="s">
        <v>52</v>
      </c>
      <c r="M6" s="1">
        <v>157.0</v>
      </c>
      <c r="N6" s="1">
        <v>1.0</v>
      </c>
    </row>
    <row r="7">
      <c r="A7" s="1" t="s">
        <v>53</v>
      </c>
      <c r="B7" s="1">
        <v>1.3986555E7</v>
      </c>
      <c r="C7" s="5" t="s">
        <v>54</v>
      </c>
      <c r="D7" s="2" t="s">
        <v>55</v>
      </c>
      <c r="E7" s="2"/>
      <c r="F7" s="2"/>
      <c r="G7" s="2"/>
      <c r="H7" s="7" t="s">
        <v>56</v>
      </c>
      <c r="I7" s="1">
        <v>66.0</v>
      </c>
      <c r="J7" s="1" t="s">
        <v>23</v>
      </c>
      <c r="K7" s="1" t="s">
        <v>24</v>
      </c>
      <c r="M7" s="1">
        <v>100.7</v>
      </c>
      <c r="N7" s="1">
        <v>0.8</v>
      </c>
    </row>
    <row r="8">
      <c r="A8" s="1" t="s">
        <v>57</v>
      </c>
      <c r="B8" s="1">
        <v>1386.0</v>
      </c>
      <c r="C8" s="5" t="s">
        <v>58</v>
      </c>
      <c r="D8" s="2" t="s">
        <v>2</v>
      </c>
      <c r="E8" s="2"/>
      <c r="F8" s="2"/>
      <c r="G8" s="2"/>
      <c r="H8" s="7" t="s">
        <v>59</v>
      </c>
      <c r="I8" s="1">
        <v>445.0</v>
      </c>
      <c r="J8" s="1" t="s">
        <v>23</v>
      </c>
      <c r="K8" s="1" t="s">
        <v>24</v>
      </c>
      <c r="L8" s="1" t="s">
        <v>60</v>
      </c>
      <c r="M8" s="1">
        <v>1806.0</v>
      </c>
      <c r="N8" s="1">
        <v>129.1</v>
      </c>
    </row>
    <row r="9">
      <c r="A9" s="1" t="s">
        <v>61</v>
      </c>
      <c r="B9" s="1">
        <v>26715.0</v>
      </c>
      <c r="C9" s="5" t="s">
        <v>62</v>
      </c>
      <c r="D9" s="2" t="s">
        <v>63</v>
      </c>
      <c r="E9" s="2"/>
      <c r="F9" s="2"/>
      <c r="G9" s="2"/>
      <c r="H9" s="7" t="s">
        <v>64</v>
      </c>
      <c r="I9" s="1">
        <v>1035.0</v>
      </c>
      <c r="J9" s="1" t="s">
        <v>51</v>
      </c>
      <c r="K9" s="1" t="s">
        <v>24</v>
      </c>
      <c r="L9" s="1" t="s">
        <v>65</v>
      </c>
      <c r="M9" s="1">
        <v>951.2</v>
      </c>
      <c r="N9" s="1">
        <v>70.9</v>
      </c>
    </row>
    <row r="10">
      <c r="A10" s="1" t="s">
        <v>66</v>
      </c>
      <c r="B10" s="1">
        <v>1.2917793E7</v>
      </c>
      <c r="C10" s="5" t="s">
        <v>67</v>
      </c>
      <c r="D10" s="1" t="s">
        <v>68</v>
      </c>
      <c r="E10" s="1"/>
      <c r="F10" s="1"/>
      <c r="G10" s="1"/>
      <c r="H10" s="7" t="s">
        <v>69</v>
      </c>
      <c r="I10" s="1">
        <v>1281.0</v>
      </c>
      <c r="J10" s="1" t="s">
        <v>70</v>
      </c>
      <c r="K10" s="1" t="s">
        <v>24</v>
      </c>
      <c r="L10" s="1" t="s">
        <v>71</v>
      </c>
      <c r="M10" s="1">
        <v>337.0</v>
      </c>
      <c r="N10" s="1">
        <v>13.3</v>
      </c>
    </row>
    <row r="11">
      <c r="A11" s="1" t="s">
        <v>72</v>
      </c>
      <c r="B11" s="1">
        <v>69204.0</v>
      </c>
      <c r="C11" s="5" t="s">
        <v>73</v>
      </c>
      <c r="D11" s="1" t="s">
        <v>74</v>
      </c>
      <c r="E11" s="1"/>
      <c r="F11" s="1"/>
      <c r="G11" s="1"/>
      <c r="H11" s="7" t="s">
        <v>75</v>
      </c>
      <c r="I11" s="1">
        <v>207.0</v>
      </c>
      <c r="J11" s="1" t="s">
        <v>23</v>
      </c>
      <c r="K11" s="1" t="s">
        <v>24</v>
      </c>
      <c r="L11" s="1" t="s">
        <v>76</v>
      </c>
      <c r="M11" s="1">
        <v>105.5</v>
      </c>
      <c r="N11" s="1">
        <v>5.6</v>
      </c>
    </row>
    <row r="12">
      <c r="A12" s="1" t="s">
        <v>77</v>
      </c>
      <c r="B12" s="1">
        <v>1.1350087E7</v>
      </c>
      <c r="C12" s="5" t="s">
        <v>78</v>
      </c>
      <c r="D12" s="1" t="s">
        <v>79</v>
      </c>
      <c r="E12" s="1"/>
      <c r="F12" s="1"/>
      <c r="G12" s="1"/>
      <c r="H12" s="7" t="s">
        <v>80</v>
      </c>
      <c r="I12" s="1">
        <v>15800.0</v>
      </c>
      <c r="J12" s="1" t="s">
        <v>23</v>
      </c>
      <c r="K12" s="1" t="s">
        <v>81</v>
      </c>
      <c r="L12" s="1" t="s">
        <v>82</v>
      </c>
      <c r="M12" s="1">
        <v>286.5</v>
      </c>
      <c r="N12" s="1">
        <v>13.6</v>
      </c>
    </row>
    <row r="13">
      <c r="A13" s="1" t="s">
        <v>83</v>
      </c>
      <c r="B13" s="1">
        <v>157602.0</v>
      </c>
      <c r="C13" s="5" t="s">
        <v>84</v>
      </c>
      <c r="D13" s="1" t="s">
        <v>85</v>
      </c>
      <c r="E13" s="1"/>
      <c r="F13" s="1"/>
      <c r="G13" s="1"/>
      <c r="H13" s="7" t="s">
        <v>86</v>
      </c>
      <c r="I13" s="1">
        <v>15700.0</v>
      </c>
      <c r="J13" s="1" t="s">
        <v>23</v>
      </c>
      <c r="K13" s="1" t="s">
        <v>24</v>
      </c>
      <c r="L13" s="1" t="s">
        <v>87</v>
      </c>
      <c r="M13" s="1">
        <v>272.0</v>
      </c>
      <c r="N13" s="1">
        <v>153.7</v>
      </c>
    </row>
    <row r="14">
      <c r="A14" s="1" t="s">
        <v>88</v>
      </c>
      <c r="B14" s="1">
        <v>1.1744651E7</v>
      </c>
      <c r="C14" s="5" t="s">
        <v>89</v>
      </c>
      <c r="D14" s="1" t="s">
        <v>90</v>
      </c>
      <c r="E14" s="1"/>
      <c r="F14" s="1"/>
      <c r="G14" s="1"/>
      <c r="H14" s="7" t="s">
        <v>91</v>
      </c>
      <c r="I14" s="1">
        <v>64.0</v>
      </c>
      <c r="J14" s="1" t="s">
        <v>23</v>
      </c>
      <c r="K14" s="1" t="s">
        <v>24</v>
      </c>
      <c r="L14" s="1" t="s">
        <v>92</v>
      </c>
      <c r="M14" s="1">
        <v>41.2</v>
      </c>
      <c r="N14" s="1">
        <v>40.7</v>
      </c>
    </row>
    <row r="53">
      <c r="A53" s="1"/>
      <c r="B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>
      <c r="A54" s="1"/>
      <c r="B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>
      <c r="A55" s="1"/>
      <c r="B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>
      <c r="A56" s="1"/>
      <c r="B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>
      <c r="A57" s="1"/>
      <c r="B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>
      <c r="A58" s="1"/>
      <c r="B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>
      <c r="A59" s="1"/>
      <c r="B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>
      <c r="A60" s="1"/>
      <c r="B60" s="8"/>
      <c r="D60" s="1"/>
      <c r="E60" s="1"/>
      <c r="F60" s="1"/>
      <c r="G60" s="1"/>
      <c r="H60" s="1"/>
      <c r="L60" s="1"/>
      <c r="M60" s="1"/>
      <c r="N60" s="1"/>
    </row>
    <row r="61">
      <c r="A61" s="1"/>
      <c r="B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>
      <c r="A62" s="1"/>
      <c r="B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>
      <c r="A63" s="1"/>
      <c r="B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>
      <c r="A64" s="1"/>
      <c r="B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>
      <c r="A65" s="1"/>
      <c r="B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>
      <c r="A66" s="1"/>
      <c r="B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>
      <c r="A67" s="1"/>
      <c r="B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>
      <c r="A68" s="1"/>
      <c r="B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>
      <c r="A69" s="1"/>
      <c r="B69" s="1"/>
      <c r="D69" s="1"/>
      <c r="E69" s="1"/>
      <c r="F69" s="1"/>
      <c r="G69" s="1"/>
      <c r="H69" s="1"/>
      <c r="J69" s="1"/>
      <c r="K69" s="1"/>
      <c r="L69" s="1"/>
      <c r="M69" s="1"/>
      <c r="N69" s="1"/>
    </row>
    <row r="70">
      <c r="A70" s="1"/>
      <c r="B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>
      <c r="A71" s="1"/>
      <c r="B71" s="1"/>
      <c r="D71" s="1"/>
      <c r="E71" s="1"/>
      <c r="F71" s="1"/>
      <c r="G71" s="1"/>
      <c r="H71" s="1"/>
      <c r="I71" s="1"/>
      <c r="J71" s="1"/>
      <c r="M71" s="1"/>
      <c r="N71" s="1"/>
    </row>
    <row r="72">
      <c r="A72" s="1"/>
      <c r="B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>
      <c r="A73" s="1"/>
      <c r="B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>
      <c r="A74" s="1"/>
      <c r="B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>
      <c r="A75" s="1"/>
      <c r="B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>
      <c r="A76" s="1"/>
      <c r="B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80">
      <c r="A80" s="9"/>
    </row>
    <row r="81">
      <c r="A81" s="10"/>
    </row>
    <row r="82">
      <c r="A82" s="9"/>
    </row>
    <row r="83">
      <c r="A83" s="9"/>
    </row>
    <row r="84">
      <c r="A84" s="9"/>
    </row>
    <row r="85">
      <c r="A85" s="9"/>
    </row>
  </sheetData>
  <autoFilter ref="$A$1:$AE$76">
    <sortState ref="A1:AE76">
      <sortCondition descending="1" ref="M1:M76"/>
      <sortCondition ref="I1:I76"/>
    </sortState>
  </autoFilter>
  <hyperlinks>
    <hyperlink r:id="rId4" ref="H2"/>
    <hyperlink r:id="rId5" ref="H3"/>
    <hyperlink r:id="rId6" ref="H4"/>
    <hyperlink r:id="rId7" ref="H5"/>
    <hyperlink r:id="rId8" ref="H6"/>
    <hyperlink r:id="rId9" ref="H7"/>
    <hyperlink r:id="rId10" ref="H8"/>
    <hyperlink r:id="rId11" ref="H9"/>
    <hyperlink r:id="rId12" ref="H10"/>
    <hyperlink r:id="rId13" ref="H11"/>
    <hyperlink r:id="rId14" ref="H12"/>
    <hyperlink r:id="rId15" ref="H13"/>
    <hyperlink r:id="rId16" ref="H14"/>
  </hyperlinks>
  <drawing r:id="rId17"/>
  <legacy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63"/>
    <col customWidth="1" min="3" max="3" width="29.5"/>
    <col customWidth="1" min="4" max="4" width="25.13"/>
    <col customWidth="1" min="13" max="13" width="28.38"/>
  </cols>
  <sheetData>
    <row r="1">
      <c r="A1" s="2" t="s">
        <v>0</v>
      </c>
      <c r="B1" s="2"/>
      <c r="C1" s="2" t="s">
        <v>1</v>
      </c>
      <c r="D1" s="2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</row>
    <row r="2">
      <c r="A2" s="11">
        <v>161030.0</v>
      </c>
      <c r="B2" s="10" t="str">
        <f t="shared" ref="B2:B24" si="1">CONCATENATE(A2,",")</f>
        <v>161030,</v>
      </c>
      <c r="C2" s="10" t="s">
        <v>103</v>
      </c>
      <c r="D2" s="10" t="str">
        <f>VLOOKUP(A2,Sheet5!A:D,4,FALSE) </f>
        <v>taichibubbletea@gmail.com</v>
      </c>
      <c r="E2" s="10"/>
      <c r="F2" s="12" t="str">
        <f>IFERROR(VLOOKUP(C:C,Sheet1!A:C,2,false),"")</f>
        <v/>
      </c>
      <c r="G2" s="11">
        <v>6464.0</v>
      </c>
      <c r="H2" s="11">
        <v>1971.0</v>
      </c>
      <c r="I2" s="13">
        <v>36.5</v>
      </c>
      <c r="J2" s="11">
        <v>1766.0</v>
      </c>
      <c r="K2" s="11">
        <v>205.0</v>
      </c>
      <c r="L2" s="11">
        <v>26.4</v>
      </c>
      <c r="M2" s="14" t="s">
        <v>104</v>
      </c>
      <c r="N2" s="10" t="str">
        <f>IFERROR(VLOOKUP(C:C,#REF!,4,false),"")</f>
        <v/>
      </c>
      <c r="O2" s="10" t="str">
        <f>IFERROR(VLOOKUP(C:C,#REF!,6,false),"")</f>
        <v/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35243.0</v>
      </c>
      <c r="B3" s="10" t="str">
        <f t="shared" si="1"/>
        <v>35243,</v>
      </c>
      <c r="C3" s="10" t="s">
        <v>105</v>
      </c>
      <c r="D3" s="10" t="str">
        <f>VLOOKUP(A3,Sheet5!A:D,4,FALSE) </f>
        <v>admin@yoshiharuramen.com</v>
      </c>
      <c r="E3" s="10"/>
      <c r="F3" s="12" t="str">
        <f t="shared" ref="F3:F12" si="2">IFERROR(VLOOKUP(A:A,Sheet1!A:C,2,false),"")</f>
        <v/>
      </c>
      <c r="G3" s="11">
        <v>579.0</v>
      </c>
      <c r="H3" s="11">
        <v>250.0</v>
      </c>
      <c r="I3" s="13" t="str">
        <f>H3/#REF!</f>
        <v>#REF!</v>
      </c>
      <c r="J3" s="11">
        <v>249.0</v>
      </c>
      <c r="K3" s="1">
        <v>1.0</v>
      </c>
      <c r="L3" s="11">
        <v>39.2</v>
      </c>
      <c r="M3" s="15" t="s">
        <v>106</v>
      </c>
      <c r="N3" s="10" t="str">
        <f t="shared" ref="N3:N11" si="3">IFERROR(VLOOKUP(A:A,#REF!,3,false),"")</f>
        <v/>
      </c>
    </row>
    <row r="4">
      <c r="A4" s="11">
        <v>1386.0</v>
      </c>
      <c r="B4" s="10" t="str">
        <f t="shared" si="1"/>
        <v>1386,</v>
      </c>
      <c r="C4" s="10" t="s">
        <v>2</v>
      </c>
      <c r="D4" s="10" t="str">
        <f>VLOOKUP(A4,Sheet5!A:D,4,FALSE) </f>
        <v>bilalahmad8365@gmail.com</v>
      </c>
      <c r="E4" s="16" t="s">
        <v>107</v>
      </c>
      <c r="F4" s="12" t="str">
        <f t="shared" si="2"/>
        <v/>
      </c>
      <c r="G4" s="11">
        <v>1750.0</v>
      </c>
      <c r="H4" s="11">
        <v>18.0</v>
      </c>
      <c r="I4" s="11">
        <v>202.0</v>
      </c>
      <c r="J4" s="11">
        <v>18.0</v>
      </c>
      <c r="K4" s="13">
        <f>I4/J4</f>
        <v>11.22222222</v>
      </c>
      <c r="L4" s="11">
        <v>164.0</v>
      </c>
      <c r="M4" s="17" t="s">
        <v>106</v>
      </c>
      <c r="N4" s="10" t="str">
        <f t="shared" si="3"/>
        <v/>
      </c>
    </row>
    <row r="5">
      <c r="A5" s="11">
        <v>631205.0</v>
      </c>
      <c r="B5" s="10" t="str">
        <f t="shared" si="1"/>
        <v>631205,</v>
      </c>
      <c r="C5" s="10" t="s">
        <v>108</v>
      </c>
      <c r="D5" s="10" t="str">
        <f>VLOOKUP(A5,Sheet5!A:D,4,FALSE) </f>
        <v>tacoselregionacogdoches@gmail.com</v>
      </c>
      <c r="E5" s="10"/>
      <c r="F5" s="12" t="str">
        <f t="shared" si="2"/>
        <v/>
      </c>
      <c r="G5" s="11">
        <v>802.0</v>
      </c>
      <c r="H5" s="11">
        <v>49.0</v>
      </c>
      <c r="I5" s="13" t="str">
        <f t="shared" ref="I5:I7" si="4">H5/#REF!</f>
        <v>#REF!</v>
      </c>
      <c r="J5" s="11">
        <v>40.0</v>
      </c>
      <c r="K5" s="11">
        <v>9.0</v>
      </c>
      <c r="L5" s="11">
        <v>24.45</v>
      </c>
      <c r="M5" s="15" t="s">
        <v>104</v>
      </c>
      <c r="N5" s="10" t="str">
        <f t="shared" si="3"/>
        <v/>
      </c>
    </row>
    <row r="6">
      <c r="A6" s="11">
        <v>626500.0</v>
      </c>
      <c r="B6" s="10" t="str">
        <f t="shared" si="1"/>
        <v>626500,</v>
      </c>
      <c r="C6" s="10" t="s">
        <v>109</v>
      </c>
      <c r="D6" s="10" t="str">
        <f>VLOOKUP(A6,Sheet5!A:D,4,FALSE) </f>
        <v>mohsoliman1@gmail.com</v>
      </c>
      <c r="E6" s="10"/>
      <c r="F6" s="12" t="str">
        <f t="shared" si="2"/>
        <v/>
      </c>
      <c r="G6" s="11">
        <v>478.0</v>
      </c>
      <c r="H6" s="11">
        <v>48.0</v>
      </c>
      <c r="I6" s="13" t="str">
        <f t="shared" si="4"/>
        <v>#REF!</v>
      </c>
      <c r="J6" s="11">
        <v>31.0</v>
      </c>
      <c r="K6" s="11">
        <v>17.0</v>
      </c>
      <c r="L6" s="11">
        <v>26.61</v>
      </c>
      <c r="M6" s="15" t="s">
        <v>104</v>
      </c>
      <c r="N6" s="10" t="str">
        <f t="shared" si="3"/>
        <v/>
      </c>
    </row>
    <row r="7">
      <c r="A7" s="11">
        <v>1.178148E7</v>
      </c>
      <c r="B7" s="10" t="str">
        <f t="shared" si="1"/>
        <v>11781480,</v>
      </c>
      <c r="C7" s="10" t="s">
        <v>110</v>
      </c>
      <c r="D7" s="10" t="str">
        <f>VLOOKUP(A7,Sheet5!A:D,4,FALSE) </f>
        <v>owlbreakfastlunchcecilbmooreave@owlbreakoperations.com</v>
      </c>
      <c r="E7" s="10"/>
      <c r="F7" s="12" t="str">
        <f t="shared" si="2"/>
        <v/>
      </c>
      <c r="G7" s="11">
        <v>491.0</v>
      </c>
      <c r="H7" s="11">
        <v>80.0</v>
      </c>
      <c r="I7" s="13" t="str">
        <f t="shared" si="4"/>
        <v>#REF!</v>
      </c>
      <c r="J7" s="11">
        <v>64.0</v>
      </c>
      <c r="K7" s="11">
        <v>16.0</v>
      </c>
      <c r="L7" s="11">
        <v>20.76</v>
      </c>
      <c r="M7" s="1" t="s">
        <v>111</v>
      </c>
      <c r="N7" s="10" t="str">
        <f t="shared" si="3"/>
        <v/>
      </c>
    </row>
    <row r="8">
      <c r="A8" s="11">
        <v>51964.0</v>
      </c>
      <c r="B8" s="10" t="str">
        <f t="shared" si="1"/>
        <v>51964,</v>
      </c>
      <c r="C8" s="10" t="s">
        <v>112</v>
      </c>
      <c r="D8" s="10" t="str">
        <f>VLOOKUP(A8,Sheet5!A:D,4,FALSE) </f>
        <v>adam@luciferspizza.com</v>
      </c>
      <c r="E8" s="10"/>
      <c r="F8" s="12" t="str">
        <f t="shared" si="2"/>
        <v/>
      </c>
      <c r="G8" s="11">
        <v>419.0</v>
      </c>
      <c r="H8" s="11">
        <v>5.0</v>
      </c>
      <c r="I8" s="11">
        <v>217.0</v>
      </c>
      <c r="J8" s="11">
        <v>5.0</v>
      </c>
      <c r="K8" s="13">
        <f>I8/J8</f>
        <v>43.4</v>
      </c>
      <c r="L8" s="11">
        <v>213.0</v>
      </c>
      <c r="M8" s="11"/>
      <c r="N8" s="10" t="str">
        <f t="shared" si="3"/>
        <v/>
      </c>
    </row>
    <row r="9">
      <c r="A9" s="11">
        <v>421348.0</v>
      </c>
      <c r="B9" s="10" t="str">
        <f t="shared" si="1"/>
        <v>421348,</v>
      </c>
      <c r="C9" s="10" t="s">
        <v>113</v>
      </c>
      <c r="D9" s="10" t="str">
        <f>VLOOKUP(A9,Sheet5!A:D,4,FALSE) </f>
        <v>jaxspicefamily@gmail.com</v>
      </c>
      <c r="E9" s="10"/>
      <c r="F9" s="12" t="str">
        <f t="shared" si="2"/>
        <v/>
      </c>
      <c r="G9" s="11">
        <v>273.0</v>
      </c>
      <c r="H9" s="11">
        <v>146.0</v>
      </c>
      <c r="I9" s="13" t="str">
        <f t="shared" ref="I9:I12" si="5">H9/#REF!</f>
        <v>#REF!</v>
      </c>
      <c r="J9" s="11">
        <v>124.0</v>
      </c>
      <c r="K9" s="11">
        <v>22.0</v>
      </c>
      <c r="L9" s="11">
        <v>52.17</v>
      </c>
      <c r="N9" s="10" t="str">
        <f t="shared" si="3"/>
        <v/>
      </c>
    </row>
    <row r="10">
      <c r="A10" s="11">
        <v>1.1428387E7</v>
      </c>
      <c r="B10" s="10" t="str">
        <f t="shared" si="1"/>
        <v>11428387,</v>
      </c>
      <c r="C10" s="10" t="s">
        <v>114</v>
      </c>
      <c r="D10" s="10" t="str">
        <f>VLOOKUP(A10,Sheet5!A:D,4,FALSE) </f>
        <v>ammar.algaradi@outlook.com</v>
      </c>
      <c r="E10" s="10"/>
      <c r="F10" s="12" t="str">
        <f t="shared" si="2"/>
        <v/>
      </c>
      <c r="G10" s="11">
        <v>241.0</v>
      </c>
      <c r="H10" s="11">
        <v>67.0</v>
      </c>
      <c r="I10" s="13" t="str">
        <f t="shared" si="5"/>
        <v>#REF!</v>
      </c>
      <c r="J10" s="11">
        <v>48.0</v>
      </c>
      <c r="K10" s="11">
        <v>19.0</v>
      </c>
      <c r="L10" s="11">
        <v>29.01</v>
      </c>
      <c r="N10" s="10" t="str">
        <f t="shared" si="3"/>
        <v/>
      </c>
    </row>
    <row r="11">
      <c r="A11" s="11">
        <v>362296.0</v>
      </c>
      <c r="B11" s="10" t="str">
        <f t="shared" si="1"/>
        <v>362296,</v>
      </c>
      <c r="C11" s="10" t="s">
        <v>115</v>
      </c>
      <c r="D11" s="10" t="str">
        <f>VLOOKUP(A11,Sheet5!A:D,4,FALSE) </f>
        <v>seasalthealthykitchen19@gmail.com</v>
      </c>
      <c r="E11" s="10"/>
      <c r="F11" s="12" t="str">
        <f t="shared" si="2"/>
        <v/>
      </c>
      <c r="G11" s="11">
        <v>62.0</v>
      </c>
      <c r="H11" s="11">
        <v>67.0</v>
      </c>
      <c r="I11" s="13" t="str">
        <f t="shared" si="5"/>
        <v>#REF!</v>
      </c>
      <c r="J11" s="11">
        <v>53.0</v>
      </c>
      <c r="K11" s="11">
        <v>14.0</v>
      </c>
      <c r="L11" s="11">
        <v>35.77</v>
      </c>
      <c r="N11" s="10" t="str">
        <f t="shared" si="3"/>
        <v/>
      </c>
    </row>
    <row r="12">
      <c r="A12" s="11">
        <v>1.4667011E7</v>
      </c>
      <c r="B12" s="10" t="str">
        <f t="shared" si="1"/>
        <v>14667011,</v>
      </c>
      <c r="C12" s="10" t="s">
        <v>116</v>
      </c>
      <c r="D12" s="10" t="str">
        <f>VLOOKUP(A12,Sheet5!A:D,4,FALSE) </f>
        <v>khalid@dudeschicken.com</v>
      </c>
      <c r="E12" s="10"/>
      <c r="F12" s="12" t="str">
        <f t="shared" si="2"/>
        <v/>
      </c>
      <c r="G12" s="11">
        <v>124.0</v>
      </c>
      <c r="H12" s="11">
        <v>66.0</v>
      </c>
      <c r="I12" s="13" t="str">
        <f t="shared" si="5"/>
        <v>#REF!</v>
      </c>
      <c r="J12" s="11">
        <v>66.0</v>
      </c>
      <c r="K12" s="11">
        <v>0.0</v>
      </c>
      <c r="L12" s="11">
        <v>31.0</v>
      </c>
      <c r="N12" s="10"/>
    </row>
    <row r="13">
      <c r="A13" s="1">
        <v>212844.0</v>
      </c>
      <c r="B13" s="10" t="str">
        <f t="shared" si="1"/>
        <v>212844,</v>
      </c>
      <c r="C13" s="1" t="s">
        <v>117</v>
      </c>
      <c r="D13" s="10" t="str">
        <f>VLOOKUP(A13,Sheet5!A:D,4,FALSE) </f>
        <v>cafealaddins@yahoo.com</v>
      </c>
      <c r="F13" s="18"/>
      <c r="G13" s="1">
        <v>63.0</v>
      </c>
      <c r="H13" s="1">
        <v>33.0</v>
      </c>
      <c r="I13" s="1">
        <v>33.0</v>
      </c>
      <c r="J13" s="1">
        <v>28.0</v>
      </c>
      <c r="K13" s="1">
        <v>5.0</v>
      </c>
      <c r="L13" s="1">
        <v>39.18</v>
      </c>
    </row>
    <row r="14">
      <c r="A14" s="1">
        <v>286030.0</v>
      </c>
      <c r="B14" s="10" t="str">
        <f t="shared" si="1"/>
        <v>286030,</v>
      </c>
      <c r="C14" s="1" t="s">
        <v>118</v>
      </c>
      <c r="D14" s="10" t="str">
        <f>VLOOKUP(A14,Sheet5!A:D,4,FALSE) </f>
        <v>puandro@gmail.com</v>
      </c>
      <c r="F14" s="18"/>
      <c r="G14" s="1">
        <v>594.0</v>
      </c>
      <c r="H14" s="1">
        <v>32.0</v>
      </c>
      <c r="I14" s="1">
        <v>4.0</v>
      </c>
      <c r="J14" s="1">
        <v>16.0</v>
      </c>
      <c r="K14" s="1">
        <v>16.0</v>
      </c>
      <c r="L14" s="1">
        <v>28.0</v>
      </c>
    </row>
    <row r="15">
      <c r="A15" s="1">
        <v>208622.0</v>
      </c>
      <c r="B15" s="10" t="str">
        <f t="shared" si="1"/>
        <v>208622,</v>
      </c>
      <c r="C15" s="1" t="s">
        <v>119</v>
      </c>
      <c r="D15" s="10" t="str">
        <f>VLOOKUP(A15,Sheet5!A:D,4,FALSE) </f>
        <v>mcuza@bodegataqueria.com</v>
      </c>
      <c r="F15" s="18"/>
      <c r="G15" s="1">
        <v>103.0</v>
      </c>
      <c r="H15" s="1">
        <v>31.0</v>
      </c>
      <c r="I15" s="1">
        <v>31.0</v>
      </c>
      <c r="J15" s="1">
        <v>28.0</v>
      </c>
      <c r="K15" s="1">
        <v>3.0</v>
      </c>
      <c r="L15" s="1">
        <v>37.66</v>
      </c>
    </row>
    <row r="16">
      <c r="A16" s="1">
        <v>88865.0</v>
      </c>
      <c r="B16" s="10" t="str">
        <f t="shared" si="1"/>
        <v>88865,</v>
      </c>
      <c r="C16" s="1" t="s">
        <v>120</v>
      </c>
      <c r="D16" s="10" t="str">
        <f>VLOOKUP(A16,Sheet5!A:D,4,FALSE) </f>
        <v>contactrealdreamllc@gmail.com</v>
      </c>
      <c r="F16" s="18"/>
      <c r="G16" s="1">
        <v>292.0</v>
      </c>
      <c r="H16" s="1">
        <v>30.0</v>
      </c>
      <c r="I16" s="1">
        <v>30.0</v>
      </c>
      <c r="J16" s="1">
        <v>27.0</v>
      </c>
      <c r="K16" s="1">
        <v>3.0</v>
      </c>
      <c r="L16" s="1">
        <v>29.0</v>
      </c>
    </row>
    <row r="17">
      <c r="A17" s="1">
        <v>1064355.0</v>
      </c>
      <c r="B17" s="10" t="str">
        <f t="shared" si="1"/>
        <v>1064355,</v>
      </c>
      <c r="C17" s="1" t="s">
        <v>121</v>
      </c>
      <c r="D17" s="10" t="str">
        <f>VLOOKUP(A17,Sheet5!A:D,4,FALSE) </f>
        <v>zhuzaiyun1981@gmail.com</v>
      </c>
      <c r="F17" s="18"/>
      <c r="G17" s="1">
        <v>125.0</v>
      </c>
      <c r="H17" s="1">
        <v>30.0</v>
      </c>
      <c r="I17" s="1">
        <v>30.0</v>
      </c>
      <c r="J17" s="1">
        <v>27.0</v>
      </c>
      <c r="K17" s="1">
        <v>3.0</v>
      </c>
      <c r="L17" s="1">
        <v>33.95</v>
      </c>
    </row>
    <row r="18">
      <c r="A18" s="1">
        <v>1.135924E7</v>
      </c>
      <c r="B18" s="10" t="str">
        <f t="shared" si="1"/>
        <v>11359240,</v>
      </c>
      <c r="C18" s="1" t="s">
        <v>122</v>
      </c>
      <c r="D18" s="10" t="str">
        <f>VLOOKUP(A18,Sheet5!A:D,4,FALSE) </f>
        <v>halalburgersmore@gmail.com</v>
      </c>
      <c r="F18" s="18"/>
      <c r="G18" s="1">
        <v>767.0</v>
      </c>
      <c r="H18" s="1">
        <v>29.0</v>
      </c>
      <c r="I18" s="1">
        <v>29.0</v>
      </c>
      <c r="J18" s="1">
        <v>16.0</v>
      </c>
      <c r="K18" s="1">
        <v>13.0</v>
      </c>
      <c r="L18" s="1">
        <v>23.2</v>
      </c>
    </row>
    <row r="19">
      <c r="A19" s="19">
        <v>1.1624201E7</v>
      </c>
      <c r="B19" s="10" t="str">
        <f t="shared" si="1"/>
        <v>11624201,</v>
      </c>
      <c r="C19" s="20" t="s">
        <v>123</v>
      </c>
      <c r="D19" s="10" t="str">
        <f>VLOOKUP(A19,Sheet5!A:D,4,FALSE) </f>
        <v>nguy127@gmail.com</v>
      </c>
      <c r="E19" s="10"/>
      <c r="F19" s="21"/>
      <c r="G19" s="19">
        <v>235.0</v>
      </c>
      <c r="H19" s="19">
        <v>27.0</v>
      </c>
      <c r="I19" s="22">
        <v>27.0</v>
      </c>
      <c r="J19" s="19">
        <v>27.0</v>
      </c>
      <c r="K19" s="19">
        <v>0.0</v>
      </c>
      <c r="L19" s="19">
        <v>34.75</v>
      </c>
      <c r="N19" s="20"/>
    </row>
    <row r="20">
      <c r="A20" s="19">
        <v>226380.0</v>
      </c>
      <c r="B20" s="10" t="str">
        <f t="shared" si="1"/>
        <v>226380,</v>
      </c>
      <c r="C20" s="20" t="s">
        <v>124</v>
      </c>
      <c r="D20" s="10" t="str">
        <f>VLOOKUP(A20,Sheet5!A:D,4,FALSE) </f>
        <v>thephillystop@gmail.com</v>
      </c>
      <c r="E20" s="10"/>
      <c r="F20" s="21"/>
      <c r="G20" s="19">
        <v>134.0</v>
      </c>
      <c r="H20" s="19">
        <v>26.0</v>
      </c>
      <c r="I20" s="22">
        <v>8.7</v>
      </c>
      <c r="J20" s="19">
        <v>23.0</v>
      </c>
      <c r="K20" s="19">
        <v>3.0</v>
      </c>
      <c r="L20" s="19">
        <v>32.23</v>
      </c>
      <c r="N20" s="20"/>
    </row>
    <row r="21">
      <c r="A21" s="19">
        <v>1.296125E7</v>
      </c>
      <c r="B21" s="10" t="str">
        <f t="shared" si="1"/>
        <v>12961250,</v>
      </c>
      <c r="C21" s="20" t="s">
        <v>125</v>
      </c>
      <c r="D21" s="10" t="str">
        <f>VLOOKUP(A21,Sheet5!A:D,4,FALSE) </f>
        <v>elbotascano@gmail.com</v>
      </c>
      <c r="E21" s="10"/>
      <c r="F21" s="21"/>
      <c r="G21" s="19">
        <v>58.0</v>
      </c>
      <c r="H21" s="19">
        <v>26.0</v>
      </c>
      <c r="I21" s="22">
        <v>6.5</v>
      </c>
      <c r="J21" s="19">
        <v>20.0</v>
      </c>
      <c r="K21" s="19">
        <v>6.0</v>
      </c>
      <c r="L21" s="19">
        <v>24.57</v>
      </c>
      <c r="N21" s="20"/>
    </row>
    <row r="22">
      <c r="A22" s="19">
        <v>273840.0</v>
      </c>
      <c r="B22" s="10" t="str">
        <f t="shared" si="1"/>
        <v>273840,</v>
      </c>
      <c r="C22" s="20" t="s">
        <v>126</v>
      </c>
      <c r="D22" s="10" t="str">
        <f>VLOOKUP(A22,Sheet5!A:D,4,FALSE) </f>
        <v>7177201@gmail.com</v>
      </c>
      <c r="E22" s="10"/>
      <c r="F22" s="21"/>
      <c r="G22" s="19">
        <v>53.0</v>
      </c>
      <c r="H22" s="19">
        <v>26.0</v>
      </c>
      <c r="I22" s="22">
        <v>26.0</v>
      </c>
      <c r="J22" s="19">
        <v>26.0</v>
      </c>
      <c r="K22" s="19">
        <v>0.0</v>
      </c>
      <c r="L22" s="19">
        <v>27.08</v>
      </c>
      <c r="N22" s="20"/>
    </row>
    <row r="23">
      <c r="A23" s="19">
        <v>1.3635899E7</v>
      </c>
      <c r="B23" s="10" t="str">
        <f t="shared" si="1"/>
        <v>13635899,</v>
      </c>
      <c r="C23" s="20" t="s">
        <v>127</v>
      </c>
      <c r="D23" s="10" t="str">
        <f>VLOOKUP(A23,Sheet5!A:D,4,FALSE) </f>
        <v>andyye0730@gmail.com</v>
      </c>
      <c r="E23" s="10"/>
      <c r="F23" s="21"/>
      <c r="G23" s="19">
        <v>135.0</v>
      </c>
      <c r="H23" s="19">
        <v>25.0</v>
      </c>
      <c r="I23" s="22">
        <v>25.0</v>
      </c>
      <c r="J23" s="19">
        <v>19.0</v>
      </c>
      <c r="K23" s="19">
        <v>6.0</v>
      </c>
      <c r="L23" s="19">
        <v>32.09</v>
      </c>
      <c r="N23" s="20"/>
    </row>
    <row r="24">
      <c r="A24" s="19">
        <v>1.1197655E7</v>
      </c>
      <c r="B24" s="10" t="str">
        <f t="shared" si="1"/>
        <v>11197655,</v>
      </c>
      <c r="C24" s="20" t="s">
        <v>128</v>
      </c>
      <c r="D24" s="10" t="str">
        <f>VLOOKUP(A24,Sheet5!A:D,4,FALSE) </f>
        <v>shakebackslaf@yahoo.com</v>
      </c>
      <c r="E24" s="10"/>
      <c r="F24" s="21"/>
      <c r="G24" s="19">
        <v>200.0</v>
      </c>
      <c r="H24" s="19">
        <v>24.0</v>
      </c>
      <c r="I24" s="22">
        <v>24.0</v>
      </c>
      <c r="J24" s="19">
        <v>19.0</v>
      </c>
      <c r="K24" s="19">
        <v>5.0</v>
      </c>
      <c r="L24" s="19">
        <v>27.07</v>
      </c>
      <c r="N24" s="20"/>
    </row>
    <row r="25">
      <c r="D25" s="10"/>
    </row>
  </sheetData>
  <autoFilter ref="$A$1:$Z$24"/>
  <hyperlinks>
    <hyperlink r:id="rId1" ref="M2"/>
    <hyperlink r:id="rId2" ref="M3"/>
    <hyperlink r:id="rId3" ref="E4"/>
    <hyperlink r:id="rId4" ref="M4"/>
    <hyperlink r:id="rId5" ref="M5"/>
    <hyperlink r:id="rId6" ref="M6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</row>
    <row r="2">
      <c r="A2" s="1">
        <v>1386.0</v>
      </c>
      <c r="B2" s="1" t="s">
        <v>137</v>
      </c>
      <c r="C2" s="1" t="s">
        <v>138</v>
      </c>
      <c r="D2" s="1" t="s">
        <v>139</v>
      </c>
      <c r="E2" s="1" t="s">
        <v>140</v>
      </c>
      <c r="F2" s="1">
        <v>2.9303024E7</v>
      </c>
      <c r="G2" s="1" t="s">
        <v>141</v>
      </c>
      <c r="H2" s="23">
        <v>46063.64078976852</v>
      </c>
    </row>
    <row r="3">
      <c r="A3" s="1">
        <v>1386.0</v>
      </c>
      <c r="B3" s="1" t="s">
        <v>142</v>
      </c>
      <c r="C3" s="1" t="s">
        <v>138</v>
      </c>
      <c r="D3" s="1" t="s">
        <v>143</v>
      </c>
      <c r="E3" s="1" t="s">
        <v>140</v>
      </c>
      <c r="F3" s="1">
        <v>2.3078422E7</v>
      </c>
      <c r="G3" s="1" t="s">
        <v>144</v>
      </c>
      <c r="H3" s="23">
        <v>46063.64078976852</v>
      </c>
    </row>
    <row r="4">
      <c r="A4" s="1">
        <v>1386.0</v>
      </c>
      <c r="B4" s="1" t="s">
        <v>145</v>
      </c>
      <c r="C4" s="1" t="s">
        <v>138</v>
      </c>
      <c r="D4" s="1" t="s">
        <v>146</v>
      </c>
      <c r="E4" s="1" t="s">
        <v>140</v>
      </c>
      <c r="F4" s="24">
        <v>2.30784222530794E15</v>
      </c>
      <c r="G4" s="1" t="s">
        <v>147</v>
      </c>
      <c r="H4" s="23">
        <v>46063.64078976852</v>
      </c>
    </row>
    <row r="5">
      <c r="A5" s="1">
        <v>1386.0</v>
      </c>
      <c r="B5" s="1" t="s">
        <v>148</v>
      </c>
      <c r="C5" s="1" t="s">
        <v>138</v>
      </c>
      <c r="D5" s="1" t="s">
        <v>149</v>
      </c>
      <c r="E5" s="1" t="s">
        <v>140</v>
      </c>
      <c r="F5" s="1">
        <v>3.0345666E7</v>
      </c>
      <c r="G5" s="1" t="s">
        <v>150</v>
      </c>
      <c r="H5" s="23">
        <v>46063.64078976852</v>
      </c>
    </row>
    <row r="6">
      <c r="A6" s="1">
        <v>1386.0</v>
      </c>
      <c r="B6" s="1" t="s">
        <v>151</v>
      </c>
      <c r="C6" s="1" t="s">
        <v>152</v>
      </c>
      <c r="D6" s="1" t="s">
        <v>153</v>
      </c>
      <c r="E6" s="1" t="s">
        <v>140</v>
      </c>
      <c r="F6" s="1">
        <v>782936.0</v>
      </c>
      <c r="G6" s="1" t="s">
        <v>154</v>
      </c>
      <c r="H6" s="23">
        <v>46063.64078976852</v>
      </c>
    </row>
    <row r="7">
      <c r="A7" s="1">
        <v>1386.0</v>
      </c>
      <c r="B7" s="1" t="s">
        <v>151</v>
      </c>
      <c r="C7" s="1" t="s">
        <v>152</v>
      </c>
      <c r="D7" s="1" t="s">
        <v>155</v>
      </c>
      <c r="E7" s="1" t="s">
        <v>140</v>
      </c>
      <c r="F7" s="1">
        <v>1212307.0</v>
      </c>
      <c r="G7" s="1" t="s">
        <v>156</v>
      </c>
      <c r="H7" s="23">
        <v>46063.64078976852</v>
      </c>
    </row>
    <row r="8">
      <c r="A8" s="1">
        <v>1386.0</v>
      </c>
      <c r="B8" s="1" t="s">
        <v>151</v>
      </c>
      <c r="C8" s="1" t="s">
        <v>152</v>
      </c>
      <c r="D8" s="1" t="s">
        <v>157</v>
      </c>
      <c r="E8" s="1" t="s">
        <v>140</v>
      </c>
      <c r="F8" s="24">
        <v>1.212307782936E12</v>
      </c>
      <c r="G8" s="1" t="s">
        <v>158</v>
      </c>
      <c r="H8" s="23">
        <v>46063.64078976852</v>
      </c>
    </row>
    <row r="9">
      <c r="A9" s="1">
        <v>1386.0</v>
      </c>
      <c r="B9" s="1" t="s">
        <v>159</v>
      </c>
      <c r="C9" s="1" t="s">
        <v>160</v>
      </c>
      <c r="D9" s="1" t="s">
        <v>161</v>
      </c>
      <c r="E9" s="1" t="s">
        <v>162</v>
      </c>
      <c r="F9" s="1">
        <v>1653154.0</v>
      </c>
      <c r="G9" s="1" t="s">
        <v>163</v>
      </c>
      <c r="H9" s="23">
        <v>46063.64078976852</v>
      </c>
    </row>
    <row r="10">
      <c r="A10" s="1">
        <v>1386.0</v>
      </c>
      <c r="B10" s="1" t="s">
        <v>164</v>
      </c>
      <c r="C10" s="1" t="s">
        <v>165</v>
      </c>
      <c r="D10" s="1" t="s">
        <v>166</v>
      </c>
      <c r="E10" s="1" t="s">
        <v>162</v>
      </c>
      <c r="F10" s="1">
        <v>611860.0</v>
      </c>
      <c r="G10" s="1" t="s">
        <v>167</v>
      </c>
      <c r="H10" s="23">
        <v>46063.64078976852</v>
      </c>
    </row>
    <row r="11">
      <c r="A11" s="1">
        <v>1386.0</v>
      </c>
      <c r="B11" s="1" t="s">
        <v>168</v>
      </c>
      <c r="C11" s="1" t="s">
        <v>169</v>
      </c>
      <c r="D11" s="1" t="s">
        <v>170</v>
      </c>
      <c r="E11" s="1" t="s">
        <v>140</v>
      </c>
      <c r="F11" s="1">
        <v>2.3078422E7</v>
      </c>
      <c r="G11" s="1" t="s">
        <v>144</v>
      </c>
      <c r="H11" s="23">
        <v>46063.64078976852</v>
      </c>
    </row>
    <row r="12">
      <c r="A12" s="1">
        <v>1386.0</v>
      </c>
      <c r="B12" s="1" t="s">
        <v>168</v>
      </c>
      <c r="C12" s="1" t="s">
        <v>169</v>
      </c>
      <c r="D12" s="1" t="s">
        <v>171</v>
      </c>
      <c r="E12" s="1" t="s">
        <v>140</v>
      </c>
      <c r="F12" s="1">
        <v>564228.0</v>
      </c>
      <c r="G12" s="1" t="s">
        <v>172</v>
      </c>
      <c r="H12" s="23">
        <v>46063.64078976852</v>
      </c>
    </row>
    <row r="13">
      <c r="A13" s="1">
        <v>1386.0</v>
      </c>
      <c r="B13" s="1" t="s">
        <v>173</v>
      </c>
      <c r="C13" s="1" t="s">
        <v>174</v>
      </c>
      <c r="D13" s="1" t="s">
        <v>175</v>
      </c>
      <c r="E13" s="1" t="s">
        <v>140</v>
      </c>
      <c r="F13" s="1">
        <v>3.0913283E7</v>
      </c>
      <c r="G13" s="1" t="s">
        <v>176</v>
      </c>
      <c r="H13" s="23">
        <v>46063.64078976852</v>
      </c>
    </row>
    <row r="14">
      <c r="A14" s="1">
        <v>1386.0</v>
      </c>
      <c r="B14" s="1" t="s">
        <v>177</v>
      </c>
      <c r="C14" s="1" t="s">
        <v>178</v>
      </c>
      <c r="D14" s="1" t="s">
        <v>179</v>
      </c>
      <c r="E14" s="1" t="s">
        <v>140</v>
      </c>
      <c r="F14" s="1">
        <v>2.3280202E7</v>
      </c>
      <c r="G14" s="1" t="s">
        <v>180</v>
      </c>
      <c r="H14" s="23">
        <v>46063.64078976852</v>
      </c>
    </row>
    <row r="15">
      <c r="A15" s="1">
        <v>1386.0</v>
      </c>
      <c r="B15" s="1" t="s">
        <v>177</v>
      </c>
      <c r="C15" s="1" t="s">
        <v>181</v>
      </c>
      <c r="D15" s="1" t="s">
        <v>182</v>
      </c>
      <c r="E15" s="1" t="s">
        <v>140</v>
      </c>
      <c r="F15" s="1">
        <v>2.3280202E7</v>
      </c>
      <c r="G15" s="1" t="s">
        <v>180</v>
      </c>
      <c r="H15" s="23">
        <v>46063.64078976852</v>
      </c>
    </row>
    <row r="16">
      <c r="A16" s="1">
        <v>1386.0</v>
      </c>
      <c r="B16" s="1" t="s">
        <v>183</v>
      </c>
      <c r="C16" s="1" t="s">
        <v>184</v>
      </c>
      <c r="D16" s="1" t="s">
        <v>185</v>
      </c>
      <c r="E16" s="1" t="s">
        <v>140</v>
      </c>
      <c r="F16" s="1">
        <v>2.4859291E7</v>
      </c>
      <c r="G16" s="1" t="s">
        <v>186</v>
      </c>
      <c r="H16" s="23">
        <v>46063.64078976852</v>
      </c>
    </row>
    <row r="17">
      <c r="A17" s="1">
        <v>1386.0</v>
      </c>
      <c r="B17" s="1" t="s">
        <v>183</v>
      </c>
      <c r="C17" s="1" t="s">
        <v>187</v>
      </c>
      <c r="D17" s="1" t="s">
        <v>188</v>
      </c>
      <c r="E17" s="1" t="s">
        <v>140</v>
      </c>
      <c r="F17" s="1">
        <v>611860.0</v>
      </c>
      <c r="G17" s="1" t="s">
        <v>167</v>
      </c>
      <c r="H17" s="23">
        <v>46063.64078976852</v>
      </c>
    </row>
    <row r="18">
      <c r="A18" s="1">
        <v>1386.0</v>
      </c>
      <c r="B18" s="1" t="s">
        <v>189</v>
      </c>
      <c r="C18" s="1" t="s">
        <v>190</v>
      </c>
      <c r="D18" s="1" t="s">
        <v>191</v>
      </c>
      <c r="E18" s="1" t="s">
        <v>192</v>
      </c>
      <c r="F18" s="24">
        <v>1.21230730889369E172</v>
      </c>
      <c r="G18" s="1" t="s">
        <v>193</v>
      </c>
      <c r="H18" s="23">
        <v>46063.64078976852</v>
      </c>
    </row>
    <row r="19">
      <c r="A19" s="1">
        <v>1386.0</v>
      </c>
      <c r="B19" s="1" t="s">
        <v>194</v>
      </c>
      <c r="C19" s="1" t="s">
        <v>195</v>
      </c>
      <c r="D19" s="1" t="s">
        <v>196</v>
      </c>
      <c r="E19" s="1" t="s">
        <v>140</v>
      </c>
      <c r="F19" s="1">
        <v>3.2950799E7</v>
      </c>
      <c r="G19" s="1" t="s">
        <v>197</v>
      </c>
      <c r="H19" s="23">
        <v>46063.64078976852</v>
      </c>
    </row>
    <row r="20">
      <c r="A20" s="1">
        <v>1386.0</v>
      </c>
      <c r="B20" s="1" t="s">
        <v>183</v>
      </c>
      <c r="C20" s="1" t="s">
        <v>195</v>
      </c>
      <c r="D20" s="1" t="s">
        <v>198</v>
      </c>
      <c r="E20" s="1" t="s">
        <v>162</v>
      </c>
      <c r="F20" s="24">
        <v>2.82369413091328E172</v>
      </c>
      <c r="G20" s="1" t="s">
        <v>199</v>
      </c>
      <c r="H20" s="23">
        <v>46063.64078976852</v>
      </c>
    </row>
    <row r="21">
      <c r="A21" s="1">
        <v>1386.0</v>
      </c>
      <c r="B21" s="1" t="s">
        <v>183</v>
      </c>
      <c r="C21" s="1" t="s">
        <v>195</v>
      </c>
      <c r="D21" s="1" t="s">
        <v>200</v>
      </c>
      <c r="E21" s="1" t="s">
        <v>162</v>
      </c>
      <c r="F21" s="24">
        <v>2.42597572307842E172</v>
      </c>
      <c r="G21" s="1" t="s">
        <v>201</v>
      </c>
      <c r="H21" s="23">
        <v>46063.64078976852</v>
      </c>
    </row>
    <row r="22">
      <c r="A22" s="1">
        <v>1386.0</v>
      </c>
      <c r="B22" s="1" t="s">
        <v>152</v>
      </c>
      <c r="C22" s="1" t="s">
        <v>202</v>
      </c>
      <c r="D22" s="1" t="s">
        <v>203</v>
      </c>
      <c r="E22" s="1" t="s">
        <v>140</v>
      </c>
      <c r="F22" s="1">
        <v>2.4842775E7</v>
      </c>
      <c r="G22" s="1" t="s">
        <v>204</v>
      </c>
      <c r="H22" s="23">
        <v>46063.64078976852</v>
      </c>
    </row>
    <row r="23">
      <c r="A23" s="1">
        <v>1386.0</v>
      </c>
      <c r="B23" s="1" t="s">
        <v>152</v>
      </c>
      <c r="C23" s="1" t="s">
        <v>202</v>
      </c>
      <c r="D23" s="1" t="s">
        <v>205</v>
      </c>
      <c r="E23" s="1" t="s">
        <v>140</v>
      </c>
      <c r="F23" s="1">
        <v>2.4842775E7</v>
      </c>
      <c r="G23" s="1" t="s">
        <v>204</v>
      </c>
      <c r="H23" s="23">
        <v>46063.64078976852</v>
      </c>
    </row>
    <row r="24">
      <c r="A24" s="1">
        <v>1386.0</v>
      </c>
      <c r="B24" s="1" t="s">
        <v>206</v>
      </c>
      <c r="C24" s="1" t="s">
        <v>207</v>
      </c>
      <c r="D24" s="1" t="s">
        <v>208</v>
      </c>
      <c r="E24" s="1" t="s">
        <v>140</v>
      </c>
      <c r="F24" s="1">
        <v>2.5115639E7</v>
      </c>
      <c r="G24" s="1" t="s">
        <v>209</v>
      </c>
      <c r="H24" s="23">
        <v>46063.64078976852</v>
      </c>
    </row>
    <row r="25">
      <c r="A25" s="1">
        <v>1386.0</v>
      </c>
      <c r="B25" s="1" t="s">
        <v>210</v>
      </c>
      <c r="C25" s="1" t="s">
        <v>211</v>
      </c>
      <c r="D25" s="1" t="s">
        <v>212</v>
      </c>
      <c r="E25" s="1" t="s">
        <v>213</v>
      </c>
      <c r="F25" s="1">
        <v>782936.0</v>
      </c>
      <c r="G25" s="1" t="s">
        <v>154</v>
      </c>
      <c r="H25" s="23">
        <v>46063.64078976852</v>
      </c>
    </row>
    <row r="26">
      <c r="A26" s="1">
        <v>1386.0</v>
      </c>
      <c r="B26" s="1" t="s">
        <v>214</v>
      </c>
      <c r="C26" s="1" t="s">
        <v>215</v>
      </c>
      <c r="D26" s="1" t="s">
        <v>216</v>
      </c>
      <c r="E26" s="1" t="s">
        <v>140</v>
      </c>
      <c r="F26" s="1">
        <v>2.4235201E7</v>
      </c>
      <c r="G26" s="1" t="s">
        <v>217</v>
      </c>
      <c r="H26" s="23">
        <v>46063.64078976852</v>
      </c>
    </row>
    <row r="27">
      <c r="A27" s="1">
        <v>1386.0</v>
      </c>
      <c r="B27" s="1" t="s">
        <v>218</v>
      </c>
      <c r="C27" s="1" t="s">
        <v>219</v>
      </c>
      <c r="D27" s="1" t="s">
        <v>220</v>
      </c>
      <c r="E27" s="1" t="s">
        <v>162</v>
      </c>
      <c r="F27" s="1">
        <v>2.8236941E7</v>
      </c>
      <c r="G27" s="1" t="s">
        <v>221</v>
      </c>
      <c r="H27" s="23">
        <v>46063.64078976852</v>
      </c>
    </row>
    <row r="28">
      <c r="A28" s="1">
        <v>1386.0</v>
      </c>
      <c r="B28" s="1" t="s">
        <v>183</v>
      </c>
      <c r="C28" s="1" t="s">
        <v>222</v>
      </c>
      <c r="D28" s="1" t="s">
        <v>223</v>
      </c>
      <c r="E28" s="1" t="s">
        <v>140</v>
      </c>
      <c r="F28" s="1">
        <v>611860.0</v>
      </c>
      <c r="G28" s="1" t="s">
        <v>167</v>
      </c>
      <c r="H28" s="23">
        <v>46063.64078976852</v>
      </c>
    </row>
    <row r="29">
      <c r="A29" s="1">
        <v>1386.0</v>
      </c>
      <c r="B29" s="1" t="s">
        <v>224</v>
      </c>
      <c r="C29" s="1" t="s">
        <v>225</v>
      </c>
      <c r="D29" s="1" t="s">
        <v>226</v>
      </c>
      <c r="E29" s="1" t="s">
        <v>140</v>
      </c>
      <c r="F29" s="1">
        <v>3.0889369E7</v>
      </c>
      <c r="G29" s="1" t="s">
        <v>227</v>
      </c>
      <c r="H29" s="23">
        <v>46063.64078976852</v>
      </c>
    </row>
    <row r="30">
      <c r="A30" s="1">
        <v>1386.0</v>
      </c>
      <c r="B30" s="1" t="s">
        <v>228</v>
      </c>
      <c r="C30" s="1" t="s">
        <v>229</v>
      </c>
      <c r="D30" s="1" t="s">
        <v>57</v>
      </c>
      <c r="E30" s="1" t="s">
        <v>162</v>
      </c>
      <c r="F30" s="24">
        <v>2.33229483088936E172</v>
      </c>
      <c r="G30" s="1" t="s">
        <v>230</v>
      </c>
      <c r="H30" s="23">
        <v>46063.64078976852</v>
      </c>
    </row>
    <row r="31">
      <c r="A31" s="1">
        <v>1386.0</v>
      </c>
      <c r="B31" s="1" t="s">
        <v>228</v>
      </c>
      <c r="C31" s="1" t="s">
        <v>229</v>
      </c>
      <c r="D31" s="1" t="s">
        <v>231</v>
      </c>
      <c r="E31" s="1" t="s">
        <v>140</v>
      </c>
      <c r="F31" s="1">
        <v>86901.0</v>
      </c>
      <c r="G31" s="1" t="s">
        <v>232</v>
      </c>
      <c r="H31" s="23">
        <v>46063.64078976852</v>
      </c>
    </row>
    <row r="32">
      <c r="A32" s="1">
        <v>1386.0</v>
      </c>
      <c r="B32" s="1" t="s">
        <v>228</v>
      </c>
      <c r="C32" s="1" t="s">
        <v>229</v>
      </c>
      <c r="D32" s="1" t="s">
        <v>233</v>
      </c>
      <c r="E32" s="1" t="s">
        <v>234</v>
      </c>
      <c r="F32" s="24">
        <v>2.48427752823694E172</v>
      </c>
      <c r="G32" s="1" t="s">
        <v>235</v>
      </c>
      <c r="H32" s="23">
        <v>46063.64078976852</v>
      </c>
    </row>
    <row r="33">
      <c r="A33" s="1">
        <v>1386.0</v>
      </c>
      <c r="B33" s="1" t="s">
        <v>236</v>
      </c>
      <c r="C33" s="1" t="s">
        <v>237</v>
      </c>
      <c r="D33" s="1" t="s">
        <v>238</v>
      </c>
      <c r="E33" s="1" t="s">
        <v>140</v>
      </c>
      <c r="F33" s="1">
        <v>2.4417423E7</v>
      </c>
      <c r="G33" s="1" t="s">
        <v>239</v>
      </c>
      <c r="H33" s="23">
        <v>46063.64078976852</v>
      </c>
    </row>
    <row r="34">
      <c r="A34" s="1">
        <v>1386.0</v>
      </c>
      <c r="B34" s="1" t="s">
        <v>240</v>
      </c>
      <c r="C34" s="1" t="s">
        <v>241</v>
      </c>
      <c r="D34" s="1" t="s">
        <v>242</v>
      </c>
      <c r="E34" s="1" t="s">
        <v>140</v>
      </c>
      <c r="F34" s="1">
        <v>3.2099363E7</v>
      </c>
      <c r="G34" s="1" t="s">
        <v>243</v>
      </c>
      <c r="H34" s="23">
        <v>46063.64078976852</v>
      </c>
    </row>
    <row r="35">
      <c r="A35" s="1">
        <v>35243.0</v>
      </c>
      <c r="B35" s="1" t="s">
        <v>244</v>
      </c>
      <c r="C35" s="1" t="s">
        <v>245</v>
      </c>
      <c r="D35" s="1" t="s">
        <v>246</v>
      </c>
      <c r="E35" s="1" t="s">
        <v>162</v>
      </c>
      <c r="F35" s="24">
        <v>2.82875251106282E112</v>
      </c>
      <c r="G35" s="1" t="s">
        <v>247</v>
      </c>
      <c r="H35" s="23">
        <v>46063.64078976852</v>
      </c>
    </row>
    <row r="36">
      <c r="A36" s="1">
        <v>35243.0</v>
      </c>
      <c r="B36" s="1" t="s">
        <v>248</v>
      </c>
      <c r="C36" s="1" t="s">
        <v>249</v>
      </c>
      <c r="D36" s="1" t="s">
        <v>250</v>
      </c>
      <c r="E36" s="1" t="s">
        <v>140</v>
      </c>
      <c r="F36" s="1">
        <v>567789.0</v>
      </c>
      <c r="G36" s="1" t="s">
        <v>251</v>
      </c>
      <c r="H36" s="23">
        <v>46063.64078976852</v>
      </c>
    </row>
    <row r="37">
      <c r="A37" s="1">
        <v>35243.0</v>
      </c>
      <c r="B37" s="1" t="s">
        <v>248</v>
      </c>
      <c r="C37" s="1" t="s">
        <v>252</v>
      </c>
      <c r="D37" s="1" t="s">
        <v>253</v>
      </c>
      <c r="E37" s="1" t="s">
        <v>140</v>
      </c>
      <c r="F37" s="1">
        <v>567789.0</v>
      </c>
      <c r="G37" s="1" t="s">
        <v>251</v>
      </c>
      <c r="H37" s="23">
        <v>46063.64078976852</v>
      </c>
    </row>
    <row r="38">
      <c r="A38" s="1">
        <v>35243.0</v>
      </c>
      <c r="B38" s="1" t="s">
        <v>105</v>
      </c>
      <c r="C38" s="1" t="s">
        <v>254</v>
      </c>
      <c r="D38" s="1" t="s">
        <v>255</v>
      </c>
      <c r="E38" s="1" t="s">
        <v>140</v>
      </c>
      <c r="F38" s="1">
        <v>1946152.0</v>
      </c>
      <c r="G38" s="1" t="s">
        <v>256</v>
      </c>
      <c r="H38" s="23">
        <v>46063.64078976852</v>
      </c>
    </row>
    <row r="39">
      <c r="A39" s="1">
        <v>35243.0</v>
      </c>
      <c r="B39" s="1" t="s">
        <v>105</v>
      </c>
      <c r="C39" s="1" t="s">
        <v>257</v>
      </c>
      <c r="D39" s="1" t="s">
        <v>258</v>
      </c>
      <c r="E39" s="1" t="s">
        <v>140</v>
      </c>
      <c r="F39" s="1">
        <v>2.3008168E7</v>
      </c>
      <c r="G39" s="1" t="s">
        <v>259</v>
      </c>
      <c r="H39" s="23">
        <v>46063.64078976852</v>
      </c>
    </row>
    <row r="40">
      <c r="A40" s="1">
        <v>35243.0</v>
      </c>
      <c r="B40" s="1" t="s">
        <v>260</v>
      </c>
      <c r="C40" s="1" t="s">
        <v>261</v>
      </c>
      <c r="D40" s="1" t="s">
        <v>262</v>
      </c>
      <c r="E40" s="1" t="s">
        <v>140</v>
      </c>
      <c r="F40" s="24">
        <v>5.5946282875E10</v>
      </c>
      <c r="G40" s="1" t="s">
        <v>263</v>
      </c>
      <c r="H40" s="23">
        <v>46063.64078976852</v>
      </c>
    </row>
    <row r="41">
      <c r="A41" s="1">
        <v>35243.0</v>
      </c>
      <c r="B41" s="1" t="s">
        <v>264</v>
      </c>
      <c r="C41" s="1" t="s">
        <v>265</v>
      </c>
      <c r="D41" s="1" t="s">
        <v>266</v>
      </c>
      <c r="E41" s="1" t="s">
        <v>213</v>
      </c>
      <c r="F41" s="1">
        <v>567789.0</v>
      </c>
      <c r="G41" s="1" t="s">
        <v>251</v>
      </c>
      <c r="H41" s="23">
        <v>46063.64078976852</v>
      </c>
    </row>
    <row r="42">
      <c r="A42" s="1">
        <v>35243.0</v>
      </c>
      <c r="B42" s="1" t="s">
        <v>267</v>
      </c>
      <c r="C42" s="1" t="s">
        <v>265</v>
      </c>
      <c r="D42" s="1" t="s">
        <v>268</v>
      </c>
      <c r="E42" s="1" t="s">
        <v>162</v>
      </c>
      <c r="F42" s="24">
        <v>2.76610612828752E112</v>
      </c>
      <c r="G42" s="1" t="s">
        <v>269</v>
      </c>
      <c r="H42" s="23">
        <v>46063.64078976852</v>
      </c>
    </row>
    <row r="43">
      <c r="A43" s="1">
        <v>35243.0</v>
      </c>
      <c r="B43" s="1" t="s">
        <v>105</v>
      </c>
      <c r="C43" s="1" t="s">
        <v>270</v>
      </c>
      <c r="D43" s="1" t="s">
        <v>271</v>
      </c>
      <c r="E43" s="1" t="s">
        <v>272</v>
      </c>
      <c r="F43" s="24">
        <v>3.06814002394141E112</v>
      </c>
      <c r="G43" s="1" t="s">
        <v>273</v>
      </c>
      <c r="H43" s="23">
        <v>46063.64078976852</v>
      </c>
    </row>
    <row r="44">
      <c r="A44" s="1">
        <v>35243.0</v>
      </c>
      <c r="B44" s="1" t="s">
        <v>248</v>
      </c>
      <c r="C44" s="1" t="s">
        <v>274</v>
      </c>
      <c r="D44" s="1" t="s">
        <v>275</v>
      </c>
      <c r="E44" s="1" t="s">
        <v>140</v>
      </c>
      <c r="F44" s="1">
        <v>282937.0</v>
      </c>
      <c r="G44" s="1" t="s">
        <v>276</v>
      </c>
      <c r="H44" s="23">
        <v>46063.64078976852</v>
      </c>
    </row>
    <row r="45">
      <c r="A45" s="1">
        <v>35243.0</v>
      </c>
      <c r="B45" s="1" t="s">
        <v>277</v>
      </c>
      <c r="C45" s="1" t="s">
        <v>278</v>
      </c>
      <c r="D45" s="1" t="s">
        <v>279</v>
      </c>
      <c r="E45" s="1" t="s">
        <v>162</v>
      </c>
      <c r="F45" s="24">
        <v>2.49385765594627E112</v>
      </c>
      <c r="G45" s="1" t="s">
        <v>280</v>
      </c>
      <c r="H45" s="23">
        <v>46063.64078976852</v>
      </c>
    </row>
    <row r="46">
      <c r="A46" s="1">
        <v>51964.0</v>
      </c>
      <c r="B46" s="1" t="s">
        <v>281</v>
      </c>
      <c r="C46" s="1" t="s">
        <v>282</v>
      </c>
      <c r="D46" s="1" t="s">
        <v>283</v>
      </c>
      <c r="E46" s="1" t="s">
        <v>162</v>
      </c>
      <c r="F46" s="24">
        <v>1.0966503972591E39</v>
      </c>
      <c r="G46" s="1" t="s">
        <v>284</v>
      </c>
      <c r="H46" s="23">
        <v>46063.64078976852</v>
      </c>
    </row>
    <row r="47">
      <c r="A47" s="1">
        <v>51964.0</v>
      </c>
      <c r="B47" s="1" t="s">
        <v>285</v>
      </c>
      <c r="C47" s="1" t="s">
        <v>286</v>
      </c>
      <c r="D47" s="1" t="s">
        <v>287</v>
      </c>
      <c r="E47" s="1" t="s">
        <v>162</v>
      </c>
      <c r="F47" s="24">
        <v>1.09665087435251E39</v>
      </c>
      <c r="G47" s="1" t="s">
        <v>288</v>
      </c>
      <c r="H47" s="23">
        <v>46063.64078976852</v>
      </c>
    </row>
    <row r="48">
      <c r="A48" s="1">
        <v>88865.0</v>
      </c>
      <c r="B48" s="1" t="s">
        <v>289</v>
      </c>
      <c r="C48" s="1" t="s">
        <v>290</v>
      </c>
      <c r="D48" s="1" t="s">
        <v>291</v>
      </c>
      <c r="E48" s="1" t="s">
        <v>162</v>
      </c>
      <c r="F48" s="1">
        <v>158938.0</v>
      </c>
      <c r="G48" s="1" t="s">
        <v>292</v>
      </c>
      <c r="H48" s="23">
        <v>46063.64078976852</v>
      </c>
    </row>
    <row r="49">
      <c r="A49" s="1">
        <v>161030.0</v>
      </c>
      <c r="B49" s="1" t="s">
        <v>293</v>
      </c>
      <c r="C49" s="1" t="s">
        <v>245</v>
      </c>
      <c r="D49" s="1" t="s">
        <v>294</v>
      </c>
      <c r="E49" s="1" t="s">
        <v>162</v>
      </c>
      <c r="F49" s="1">
        <v>970661.0</v>
      </c>
      <c r="G49" s="1" t="s">
        <v>295</v>
      </c>
      <c r="H49" s="23">
        <v>46063.64078976852</v>
      </c>
    </row>
    <row r="50">
      <c r="A50" s="1">
        <v>161030.0</v>
      </c>
      <c r="B50" s="1" t="s">
        <v>296</v>
      </c>
      <c r="C50" s="1" t="s">
        <v>297</v>
      </c>
      <c r="D50" s="1" t="s">
        <v>298</v>
      </c>
      <c r="E50" s="1" t="s">
        <v>162</v>
      </c>
      <c r="F50" s="1">
        <v>2.6008539E7</v>
      </c>
      <c r="G50" s="1" t="s">
        <v>299</v>
      </c>
      <c r="H50" s="23">
        <v>46063.64078976852</v>
      </c>
    </row>
    <row r="51">
      <c r="A51" s="1">
        <v>161030.0</v>
      </c>
      <c r="B51" s="1" t="s">
        <v>300</v>
      </c>
      <c r="C51" s="1" t="s">
        <v>301</v>
      </c>
      <c r="D51" s="1" t="s">
        <v>302</v>
      </c>
      <c r="E51" s="1" t="s">
        <v>140</v>
      </c>
      <c r="F51" s="1">
        <v>2.4686949E7</v>
      </c>
      <c r="G51" s="1" t="s">
        <v>303</v>
      </c>
      <c r="H51" s="23">
        <v>46063.64078976852</v>
      </c>
    </row>
    <row r="52">
      <c r="A52" s="1">
        <v>161030.0</v>
      </c>
      <c r="B52" s="1" t="s">
        <v>304</v>
      </c>
      <c r="C52" s="1" t="s">
        <v>305</v>
      </c>
      <c r="D52" s="1" t="s">
        <v>306</v>
      </c>
      <c r="E52" s="1" t="s">
        <v>140</v>
      </c>
      <c r="F52" s="1">
        <v>3.3158695E7</v>
      </c>
      <c r="G52" s="1" t="s">
        <v>307</v>
      </c>
      <c r="H52" s="23">
        <v>46063.64078976852</v>
      </c>
    </row>
    <row r="53">
      <c r="A53" s="1">
        <v>161030.0</v>
      </c>
      <c r="B53" s="1" t="s">
        <v>308</v>
      </c>
      <c r="C53" s="1" t="s">
        <v>305</v>
      </c>
      <c r="D53" s="1" t="s">
        <v>309</v>
      </c>
      <c r="E53" s="1" t="s">
        <v>140</v>
      </c>
      <c r="F53" s="1">
        <v>2.8236597E7</v>
      </c>
      <c r="G53" s="1" t="s">
        <v>310</v>
      </c>
      <c r="H53" s="23">
        <v>46063.64078976852</v>
      </c>
    </row>
    <row r="54">
      <c r="A54" s="1">
        <v>161030.0</v>
      </c>
      <c r="B54" s="1" t="s">
        <v>311</v>
      </c>
      <c r="C54" s="1" t="s">
        <v>312</v>
      </c>
      <c r="D54" s="1" t="s">
        <v>313</v>
      </c>
      <c r="E54" s="1" t="s">
        <v>314</v>
      </c>
      <c r="F54" s="1">
        <v>2.6008539E7</v>
      </c>
      <c r="G54" s="1" t="s">
        <v>299</v>
      </c>
      <c r="H54" s="23">
        <v>46063.64078976852</v>
      </c>
    </row>
    <row r="55">
      <c r="A55" s="1">
        <v>161030.0</v>
      </c>
      <c r="B55" s="1" t="s">
        <v>315</v>
      </c>
      <c r="C55" s="1" t="s">
        <v>316</v>
      </c>
      <c r="D55" s="1" t="s">
        <v>317</v>
      </c>
      <c r="E55" s="1" t="s">
        <v>140</v>
      </c>
      <c r="F55" s="24">
        <v>2.60085392339427E15</v>
      </c>
      <c r="G55" s="1" t="s">
        <v>318</v>
      </c>
      <c r="H55" s="23">
        <v>46063.64078976852</v>
      </c>
    </row>
    <row r="56">
      <c r="A56" s="1">
        <v>161030.0</v>
      </c>
      <c r="B56" s="1" t="s">
        <v>319</v>
      </c>
      <c r="C56" s="1" t="s">
        <v>312</v>
      </c>
      <c r="D56" s="1" t="s">
        <v>320</v>
      </c>
      <c r="E56" s="1" t="s">
        <v>140</v>
      </c>
      <c r="F56" s="24">
        <v>2.46869493097996E15</v>
      </c>
      <c r="G56" s="1" t="s">
        <v>321</v>
      </c>
      <c r="H56" s="23">
        <v>46063.64078976852</v>
      </c>
    </row>
    <row r="57">
      <c r="A57" s="1">
        <v>161030.0</v>
      </c>
      <c r="B57" s="1" t="s">
        <v>322</v>
      </c>
      <c r="C57" s="1" t="s">
        <v>316</v>
      </c>
      <c r="D57" s="1" t="s">
        <v>323</v>
      </c>
      <c r="E57" s="1" t="s">
        <v>140</v>
      </c>
      <c r="F57" s="1">
        <v>2.6008539E7</v>
      </c>
      <c r="G57" s="1" t="s">
        <v>299</v>
      </c>
      <c r="H57" s="23">
        <v>46063.64078976852</v>
      </c>
    </row>
    <row r="58">
      <c r="A58" s="1">
        <v>161030.0</v>
      </c>
      <c r="B58" s="1" t="s">
        <v>324</v>
      </c>
      <c r="C58" s="1" t="s">
        <v>312</v>
      </c>
      <c r="D58" s="1" t="s">
        <v>325</v>
      </c>
      <c r="E58" s="1" t="s">
        <v>140</v>
      </c>
      <c r="F58" s="1">
        <v>1808650.0</v>
      </c>
      <c r="G58" s="1" t="s">
        <v>326</v>
      </c>
      <c r="H58" s="23">
        <v>46063.64078976852</v>
      </c>
    </row>
    <row r="59">
      <c r="A59" s="1">
        <v>161030.0</v>
      </c>
      <c r="B59" s="1" t="s">
        <v>327</v>
      </c>
      <c r="C59" s="1" t="s">
        <v>316</v>
      </c>
      <c r="D59" s="1" t="s">
        <v>328</v>
      </c>
      <c r="E59" s="1" t="s">
        <v>140</v>
      </c>
      <c r="F59" s="1">
        <v>2.5104749E7</v>
      </c>
      <c r="G59" s="1" t="s">
        <v>329</v>
      </c>
      <c r="H59" s="23">
        <v>46063.64078976852</v>
      </c>
    </row>
    <row r="60">
      <c r="A60" s="1">
        <v>161030.0</v>
      </c>
      <c r="B60" s="1" t="s">
        <v>330</v>
      </c>
      <c r="C60" s="1" t="s">
        <v>312</v>
      </c>
      <c r="D60" s="1" t="s">
        <v>331</v>
      </c>
      <c r="E60" s="1" t="s">
        <v>140</v>
      </c>
      <c r="F60" s="1">
        <v>3.4881545E7</v>
      </c>
      <c r="G60" s="1" t="s">
        <v>332</v>
      </c>
      <c r="H60" s="23">
        <v>46063.64078976852</v>
      </c>
    </row>
    <row r="61">
      <c r="A61" s="1">
        <v>161030.0</v>
      </c>
      <c r="B61" s="1" t="s">
        <v>333</v>
      </c>
      <c r="C61" s="1" t="s">
        <v>312</v>
      </c>
      <c r="D61" s="1" t="s">
        <v>334</v>
      </c>
      <c r="E61" s="1" t="s">
        <v>140</v>
      </c>
      <c r="F61" s="1">
        <v>3.1565371E7</v>
      </c>
      <c r="G61" s="1" t="s">
        <v>335</v>
      </c>
      <c r="H61" s="23">
        <v>46063.64078976852</v>
      </c>
    </row>
    <row r="62">
      <c r="A62" s="1">
        <v>161030.0</v>
      </c>
      <c r="B62" s="1" t="s">
        <v>336</v>
      </c>
      <c r="C62" s="1" t="s">
        <v>337</v>
      </c>
      <c r="D62" s="1" t="s">
        <v>338</v>
      </c>
      <c r="E62" s="1" t="s">
        <v>140</v>
      </c>
      <c r="F62" s="1">
        <v>2.4328608E7</v>
      </c>
      <c r="G62" s="1" t="s">
        <v>339</v>
      </c>
      <c r="H62" s="23">
        <v>46063.64078976852</v>
      </c>
    </row>
    <row r="63">
      <c r="A63" s="1">
        <v>161030.0</v>
      </c>
      <c r="B63" s="1" t="s">
        <v>340</v>
      </c>
      <c r="C63" s="1" t="s">
        <v>312</v>
      </c>
      <c r="D63" s="1" t="s">
        <v>341</v>
      </c>
      <c r="E63" s="1" t="s">
        <v>162</v>
      </c>
      <c r="F63" s="1" t="s">
        <v>342</v>
      </c>
      <c r="G63" s="1" t="s">
        <v>343</v>
      </c>
      <c r="H63" s="23">
        <v>46063.64078976852</v>
      </c>
    </row>
    <row r="64">
      <c r="A64" s="1">
        <v>161030.0</v>
      </c>
      <c r="B64" s="1" t="s">
        <v>344</v>
      </c>
      <c r="C64" s="1" t="s">
        <v>312</v>
      </c>
      <c r="D64" s="1" t="s">
        <v>345</v>
      </c>
      <c r="E64" s="1" t="s">
        <v>140</v>
      </c>
      <c r="F64" s="1">
        <v>2.4747397E7</v>
      </c>
      <c r="G64" s="1" t="s">
        <v>346</v>
      </c>
      <c r="H64" s="23">
        <v>46063.64078976852</v>
      </c>
    </row>
    <row r="65">
      <c r="A65" s="1">
        <v>161030.0</v>
      </c>
      <c r="B65" s="1" t="s">
        <v>347</v>
      </c>
      <c r="C65" s="1" t="s">
        <v>348</v>
      </c>
      <c r="D65" s="1" t="s">
        <v>349</v>
      </c>
      <c r="E65" s="1" t="s">
        <v>140</v>
      </c>
      <c r="F65" s="1">
        <v>3.8204681E7</v>
      </c>
      <c r="G65" s="1" t="s">
        <v>350</v>
      </c>
      <c r="H65" s="23">
        <v>46063.64078976852</v>
      </c>
    </row>
    <row r="66">
      <c r="A66" s="1">
        <v>161030.0</v>
      </c>
      <c r="B66" s="1" t="s">
        <v>351</v>
      </c>
      <c r="C66" s="1" t="s">
        <v>352</v>
      </c>
      <c r="D66" s="1" t="s">
        <v>353</v>
      </c>
      <c r="E66" s="1" t="s">
        <v>140</v>
      </c>
      <c r="F66" s="1">
        <v>2816422.0</v>
      </c>
      <c r="G66" s="1" t="s">
        <v>354</v>
      </c>
      <c r="H66" s="23">
        <v>46063.64078976852</v>
      </c>
    </row>
    <row r="67">
      <c r="A67" s="1">
        <v>161030.0</v>
      </c>
      <c r="B67" s="1" t="s">
        <v>355</v>
      </c>
      <c r="C67" s="1" t="s">
        <v>356</v>
      </c>
      <c r="D67" s="1" t="s">
        <v>357</v>
      </c>
      <c r="E67" s="1" t="s">
        <v>140</v>
      </c>
      <c r="F67" s="1">
        <v>1186559.0</v>
      </c>
      <c r="G67" s="1" t="s">
        <v>358</v>
      </c>
      <c r="H67" s="23">
        <v>46063.64078976852</v>
      </c>
    </row>
    <row r="68">
      <c r="A68" s="1">
        <v>161030.0</v>
      </c>
      <c r="B68" s="1" t="s">
        <v>355</v>
      </c>
      <c r="C68" s="1" t="s">
        <v>356</v>
      </c>
      <c r="D68" s="1" t="s">
        <v>359</v>
      </c>
      <c r="E68" s="1" t="s">
        <v>140</v>
      </c>
      <c r="F68" s="24">
        <v>7.7255080184397E23</v>
      </c>
      <c r="G68" s="1" t="s">
        <v>360</v>
      </c>
      <c r="H68" s="23">
        <v>46063.64078976852</v>
      </c>
    </row>
    <row r="69">
      <c r="A69" s="1">
        <v>161030.0</v>
      </c>
      <c r="B69" s="1" t="s">
        <v>361</v>
      </c>
      <c r="C69" s="1" t="s">
        <v>362</v>
      </c>
      <c r="D69" s="1" t="s">
        <v>363</v>
      </c>
      <c r="E69" s="1" t="s">
        <v>140</v>
      </c>
      <c r="F69" s="1">
        <v>785645.0</v>
      </c>
      <c r="G69" s="1" t="s">
        <v>364</v>
      </c>
      <c r="H69" s="23">
        <v>46063.64078976852</v>
      </c>
    </row>
    <row r="70">
      <c r="A70" s="1">
        <v>161030.0</v>
      </c>
      <c r="B70" s="1" t="s">
        <v>365</v>
      </c>
      <c r="C70" s="1" t="s">
        <v>366</v>
      </c>
      <c r="D70" s="1" t="s">
        <v>367</v>
      </c>
      <c r="E70" s="1" t="s">
        <v>162</v>
      </c>
      <c r="F70" s="1">
        <v>2.4337081E7</v>
      </c>
      <c r="G70" s="1" t="s">
        <v>368</v>
      </c>
      <c r="H70" s="23">
        <v>46063.64078976852</v>
      </c>
    </row>
    <row r="71">
      <c r="A71" s="1">
        <v>161030.0</v>
      </c>
      <c r="B71" s="1" t="s">
        <v>369</v>
      </c>
      <c r="C71" s="1" t="s">
        <v>366</v>
      </c>
      <c r="D71" s="1" t="s">
        <v>370</v>
      </c>
      <c r="E71" s="1" t="s">
        <v>140</v>
      </c>
      <c r="F71" s="1">
        <v>1083912.0</v>
      </c>
      <c r="G71" s="1" t="s">
        <v>371</v>
      </c>
      <c r="H71" s="23">
        <v>46063.64078976852</v>
      </c>
    </row>
    <row r="72">
      <c r="A72" s="1">
        <v>161030.0</v>
      </c>
      <c r="B72" s="1" t="s">
        <v>372</v>
      </c>
      <c r="C72" s="1" t="s">
        <v>373</v>
      </c>
      <c r="D72" s="1" t="s">
        <v>374</v>
      </c>
      <c r="E72" s="1" t="s">
        <v>140</v>
      </c>
      <c r="F72" s="1">
        <v>3.09234E7</v>
      </c>
      <c r="G72" s="1" t="s">
        <v>375</v>
      </c>
      <c r="H72" s="23">
        <v>46063.64078976852</v>
      </c>
    </row>
    <row r="73">
      <c r="A73" s="1">
        <v>161030.0</v>
      </c>
      <c r="B73" s="1" t="s">
        <v>376</v>
      </c>
      <c r="C73" s="1" t="s">
        <v>373</v>
      </c>
      <c r="D73" s="1" t="s">
        <v>377</v>
      </c>
      <c r="E73" s="1" t="s">
        <v>140</v>
      </c>
      <c r="F73" s="1">
        <v>1595762.0</v>
      </c>
      <c r="G73" s="1" t="s">
        <v>378</v>
      </c>
      <c r="H73" s="23">
        <v>46063.64078976852</v>
      </c>
    </row>
    <row r="74">
      <c r="A74" s="1">
        <v>161030.0</v>
      </c>
      <c r="B74" s="1" t="s">
        <v>379</v>
      </c>
      <c r="C74" s="1" t="s">
        <v>373</v>
      </c>
      <c r="D74" s="1" t="s">
        <v>380</v>
      </c>
      <c r="E74" s="1" t="s">
        <v>162</v>
      </c>
      <c r="F74" s="1">
        <v>2.7678121E7</v>
      </c>
      <c r="G74" s="1" t="s">
        <v>381</v>
      </c>
      <c r="H74" s="23">
        <v>46063.64078976852</v>
      </c>
    </row>
    <row r="75">
      <c r="A75" s="1">
        <v>161030.0</v>
      </c>
      <c r="B75" s="1" t="s">
        <v>382</v>
      </c>
      <c r="C75" s="1" t="s">
        <v>373</v>
      </c>
      <c r="D75" s="1" t="s">
        <v>383</v>
      </c>
      <c r="E75" s="1" t="s">
        <v>140</v>
      </c>
      <c r="F75" s="1">
        <v>2.7678121E7</v>
      </c>
      <c r="G75" s="1" t="s">
        <v>381</v>
      </c>
      <c r="H75" s="23">
        <v>46063.64078976852</v>
      </c>
    </row>
    <row r="76">
      <c r="A76" s="1">
        <v>161030.0</v>
      </c>
      <c r="B76" s="1" t="s">
        <v>384</v>
      </c>
      <c r="C76" s="1" t="s">
        <v>373</v>
      </c>
      <c r="D76" s="1" t="s">
        <v>385</v>
      </c>
      <c r="E76" s="1" t="s">
        <v>140</v>
      </c>
      <c r="F76" s="1">
        <v>801843.0</v>
      </c>
      <c r="G76" s="1" t="s">
        <v>386</v>
      </c>
      <c r="H76" s="23">
        <v>46063.64078976852</v>
      </c>
    </row>
    <row r="77">
      <c r="A77" s="1">
        <v>161030.0</v>
      </c>
      <c r="B77" s="1" t="s">
        <v>387</v>
      </c>
      <c r="C77" s="1" t="s">
        <v>373</v>
      </c>
      <c r="D77" s="1" t="s">
        <v>388</v>
      </c>
      <c r="E77" s="1" t="s">
        <v>140</v>
      </c>
      <c r="F77" s="1">
        <v>2.3177241E7</v>
      </c>
      <c r="G77" s="1" t="s">
        <v>389</v>
      </c>
      <c r="H77" s="23">
        <v>46063.64078976852</v>
      </c>
    </row>
    <row r="78">
      <c r="A78" s="1">
        <v>161030.0</v>
      </c>
      <c r="B78" s="1" t="s">
        <v>390</v>
      </c>
      <c r="C78" s="1" t="s">
        <v>373</v>
      </c>
      <c r="D78" s="1" t="s">
        <v>391</v>
      </c>
      <c r="E78" s="1" t="s">
        <v>140</v>
      </c>
      <c r="F78" s="1">
        <v>2.6288605E7</v>
      </c>
      <c r="G78" s="1" t="s">
        <v>392</v>
      </c>
      <c r="H78" s="23">
        <v>46063.64078976852</v>
      </c>
    </row>
    <row r="79">
      <c r="A79" s="1">
        <v>161030.0</v>
      </c>
      <c r="B79" s="1" t="s">
        <v>393</v>
      </c>
      <c r="C79" s="1" t="s">
        <v>373</v>
      </c>
      <c r="D79" s="1" t="s">
        <v>394</v>
      </c>
      <c r="E79" s="1" t="s">
        <v>140</v>
      </c>
      <c r="F79" s="1">
        <v>1549392.0</v>
      </c>
      <c r="G79" s="1" t="s">
        <v>395</v>
      </c>
      <c r="H79" s="23">
        <v>46063.64078976852</v>
      </c>
    </row>
    <row r="80">
      <c r="A80" s="1">
        <v>161030.0</v>
      </c>
      <c r="B80" s="1" t="s">
        <v>396</v>
      </c>
      <c r="C80" s="1" t="s">
        <v>397</v>
      </c>
      <c r="D80" s="1" t="s">
        <v>398</v>
      </c>
      <c r="E80" s="1" t="s">
        <v>140</v>
      </c>
      <c r="F80" s="1">
        <v>2.7678121E7</v>
      </c>
      <c r="G80" s="1" t="s">
        <v>381</v>
      </c>
      <c r="H80" s="23">
        <v>46063.64078976852</v>
      </c>
    </row>
    <row r="81">
      <c r="A81" s="1">
        <v>161030.0</v>
      </c>
      <c r="B81" s="1" t="s">
        <v>396</v>
      </c>
      <c r="C81" s="1" t="s">
        <v>399</v>
      </c>
      <c r="D81" s="1" t="s">
        <v>400</v>
      </c>
      <c r="E81" s="1" t="s">
        <v>140</v>
      </c>
      <c r="F81" s="1">
        <v>2.7678121E7</v>
      </c>
      <c r="G81" s="1" t="s">
        <v>381</v>
      </c>
      <c r="H81" s="23">
        <v>46063.64078976852</v>
      </c>
    </row>
    <row r="82">
      <c r="A82" s="1">
        <v>161030.0</v>
      </c>
      <c r="B82" s="1" t="s">
        <v>401</v>
      </c>
      <c r="C82" s="1" t="s">
        <v>402</v>
      </c>
      <c r="D82" s="1" t="s">
        <v>403</v>
      </c>
      <c r="E82" s="1" t="s">
        <v>140</v>
      </c>
      <c r="F82" s="1">
        <v>2.4603135E7</v>
      </c>
      <c r="G82" s="1" t="s">
        <v>404</v>
      </c>
      <c r="H82" s="23">
        <v>46063.64078976852</v>
      </c>
    </row>
    <row r="83">
      <c r="A83" s="1">
        <v>161030.0</v>
      </c>
      <c r="B83" s="1" t="s">
        <v>405</v>
      </c>
      <c r="C83" s="1" t="s">
        <v>406</v>
      </c>
      <c r="D83" s="1" t="s">
        <v>407</v>
      </c>
      <c r="E83" s="1" t="s">
        <v>140</v>
      </c>
      <c r="F83" s="1">
        <v>757275.0</v>
      </c>
      <c r="G83" s="1" t="s">
        <v>408</v>
      </c>
      <c r="H83" s="23">
        <v>46063.64078976852</v>
      </c>
    </row>
    <row r="84">
      <c r="A84" s="1">
        <v>161030.0</v>
      </c>
      <c r="B84" s="1" t="s">
        <v>405</v>
      </c>
      <c r="C84" s="1" t="s">
        <v>406</v>
      </c>
      <c r="D84" s="1" t="s">
        <v>409</v>
      </c>
      <c r="E84" s="1" t="s">
        <v>213</v>
      </c>
      <c r="F84" s="1">
        <v>3.5540217E7</v>
      </c>
      <c r="G84" s="1" t="s">
        <v>410</v>
      </c>
      <c r="H84" s="23">
        <v>46063.64078976852</v>
      </c>
    </row>
    <row r="85">
      <c r="A85" s="1">
        <v>161030.0</v>
      </c>
      <c r="B85" s="1" t="s">
        <v>411</v>
      </c>
      <c r="C85" s="1" t="s">
        <v>406</v>
      </c>
      <c r="D85" s="1" t="s">
        <v>412</v>
      </c>
      <c r="E85" s="1" t="s">
        <v>162</v>
      </c>
      <c r="F85" s="1">
        <v>2.4886734E7</v>
      </c>
      <c r="G85" s="1" t="s">
        <v>413</v>
      </c>
      <c r="H85" s="23">
        <v>46063.64078976852</v>
      </c>
    </row>
    <row r="86">
      <c r="A86" s="1">
        <v>161030.0</v>
      </c>
      <c r="B86" s="1" t="s">
        <v>414</v>
      </c>
      <c r="C86" s="1" t="s">
        <v>406</v>
      </c>
      <c r="D86" s="1" t="s">
        <v>415</v>
      </c>
      <c r="E86" s="1" t="s">
        <v>213</v>
      </c>
      <c r="F86" s="1">
        <v>3.5540217E7</v>
      </c>
      <c r="G86" s="1" t="s">
        <v>410</v>
      </c>
      <c r="H86" s="23">
        <v>46063.64078976852</v>
      </c>
    </row>
    <row r="87">
      <c r="A87" s="1">
        <v>161030.0</v>
      </c>
      <c r="B87" s="1" t="s">
        <v>414</v>
      </c>
      <c r="C87" s="1" t="s">
        <v>406</v>
      </c>
      <c r="D87" s="1" t="s">
        <v>416</v>
      </c>
      <c r="E87" s="1" t="s">
        <v>140</v>
      </c>
      <c r="F87" s="1">
        <v>772550.0</v>
      </c>
      <c r="G87" s="1" t="s">
        <v>417</v>
      </c>
      <c r="H87" s="23">
        <v>46063.64078976852</v>
      </c>
    </row>
    <row r="88">
      <c r="A88" s="1">
        <v>161030.0</v>
      </c>
      <c r="B88" s="1" t="s">
        <v>414</v>
      </c>
      <c r="C88" s="1" t="s">
        <v>406</v>
      </c>
      <c r="D88" s="1" t="s">
        <v>418</v>
      </c>
      <c r="E88" s="1" t="s">
        <v>140</v>
      </c>
      <c r="F88" s="1">
        <v>3.3738137E7</v>
      </c>
      <c r="G88" s="1" t="s">
        <v>419</v>
      </c>
      <c r="H88" s="23">
        <v>46063.64078976852</v>
      </c>
    </row>
    <row r="89">
      <c r="A89" s="1">
        <v>161030.0</v>
      </c>
      <c r="B89" s="1" t="s">
        <v>414</v>
      </c>
      <c r="C89" s="1" t="s">
        <v>406</v>
      </c>
      <c r="D89" s="1" t="s">
        <v>420</v>
      </c>
      <c r="E89" s="1" t="s">
        <v>162</v>
      </c>
      <c r="F89" s="1" t="s">
        <v>421</v>
      </c>
      <c r="G89" s="1" t="s">
        <v>422</v>
      </c>
      <c r="H89" s="23">
        <v>46063.64078976852</v>
      </c>
    </row>
    <row r="90">
      <c r="A90" s="1">
        <v>161030.0</v>
      </c>
      <c r="B90" s="1" t="s">
        <v>423</v>
      </c>
      <c r="C90" s="1" t="s">
        <v>406</v>
      </c>
      <c r="D90" s="1" t="s">
        <v>424</v>
      </c>
      <c r="E90" s="1" t="s">
        <v>213</v>
      </c>
      <c r="F90" s="1">
        <v>1083912.0</v>
      </c>
      <c r="G90" s="1" t="s">
        <v>371</v>
      </c>
      <c r="H90" s="23">
        <v>46063.64078976852</v>
      </c>
    </row>
    <row r="91">
      <c r="A91" s="1">
        <v>161030.0</v>
      </c>
      <c r="B91" s="1" t="s">
        <v>425</v>
      </c>
      <c r="C91" s="1" t="s">
        <v>426</v>
      </c>
      <c r="D91" s="1" t="s">
        <v>427</v>
      </c>
      <c r="E91" s="1" t="s">
        <v>234</v>
      </c>
      <c r="F91" s="1">
        <v>2.5487498E7</v>
      </c>
      <c r="G91" s="1" t="s">
        <v>428</v>
      </c>
      <c r="H91" s="23">
        <v>46063.64078976852</v>
      </c>
    </row>
    <row r="92">
      <c r="A92" s="1">
        <v>161030.0</v>
      </c>
      <c r="B92" s="1" t="s">
        <v>429</v>
      </c>
      <c r="C92" s="1" t="s">
        <v>430</v>
      </c>
      <c r="D92" s="1" t="s">
        <v>431</v>
      </c>
      <c r="E92" s="1" t="s">
        <v>140</v>
      </c>
      <c r="F92" s="1">
        <v>4.0446895E7</v>
      </c>
      <c r="G92" s="1" t="s">
        <v>432</v>
      </c>
      <c r="H92" s="23">
        <v>46063.64078976852</v>
      </c>
    </row>
    <row r="93">
      <c r="A93" s="1">
        <v>161030.0</v>
      </c>
      <c r="B93" s="1" t="s">
        <v>433</v>
      </c>
      <c r="C93" s="1" t="s">
        <v>430</v>
      </c>
      <c r="D93" s="1" t="s">
        <v>434</v>
      </c>
      <c r="E93" s="1" t="s">
        <v>213</v>
      </c>
      <c r="F93" s="1">
        <v>3.4631365E7</v>
      </c>
      <c r="G93" s="1" t="s">
        <v>435</v>
      </c>
      <c r="H93" s="23">
        <v>46063.64078976852</v>
      </c>
    </row>
    <row r="94">
      <c r="A94" s="1">
        <v>161030.0</v>
      </c>
      <c r="B94" s="1" t="s">
        <v>436</v>
      </c>
      <c r="C94" s="1" t="s">
        <v>426</v>
      </c>
      <c r="D94" s="1" t="s">
        <v>437</v>
      </c>
      <c r="E94" s="1" t="s">
        <v>140</v>
      </c>
      <c r="F94" s="1">
        <v>2816430.0</v>
      </c>
      <c r="G94" s="1" t="s">
        <v>438</v>
      </c>
      <c r="H94" s="23">
        <v>46063.64078976852</v>
      </c>
    </row>
    <row r="95">
      <c r="A95" s="1">
        <v>161030.0</v>
      </c>
      <c r="B95" s="1" t="s">
        <v>439</v>
      </c>
      <c r="C95" s="1" t="s">
        <v>430</v>
      </c>
      <c r="D95" s="1" t="s">
        <v>440</v>
      </c>
      <c r="E95" s="1" t="s">
        <v>140</v>
      </c>
      <c r="F95" s="1">
        <v>2.5806593E7</v>
      </c>
      <c r="G95" s="1" t="s">
        <v>441</v>
      </c>
      <c r="H95" s="23">
        <v>46063.64078976852</v>
      </c>
    </row>
    <row r="96">
      <c r="A96" s="1">
        <v>161030.0</v>
      </c>
      <c r="B96" s="1" t="s">
        <v>439</v>
      </c>
      <c r="C96" s="1" t="s">
        <v>430</v>
      </c>
      <c r="D96" s="1" t="s">
        <v>442</v>
      </c>
      <c r="E96" s="1" t="s">
        <v>140</v>
      </c>
      <c r="F96" s="1">
        <v>2.5308292E7</v>
      </c>
      <c r="G96" s="1" t="s">
        <v>443</v>
      </c>
      <c r="H96" s="23">
        <v>46063.64078976852</v>
      </c>
    </row>
    <row r="97">
      <c r="A97" s="1">
        <v>161030.0</v>
      </c>
      <c r="B97" s="1" t="s">
        <v>444</v>
      </c>
      <c r="C97" s="1" t="s">
        <v>430</v>
      </c>
      <c r="D97" s="1" t="s">
        <v>445</v>
      </c>
      <c r="E97" s="1" t="s">
        <v>140</v>
      </c>
      <c r="F97" s="1">
        <v>2.4463485E7</v>
      </c>
      <c r="G97" s="1" t="s">
        <v>446</v>
      </c>
      <c r="H97" s="23">
        <v>46063.64078976852</v>
      </c>
    </row>
    <row r="98">
      <c r="A98" s="1">
        <v>161030.0</v>
      </c>
      <c r="B98" s="1" t="s">
        <v>447</v>
      </c>
      <c r="C98" s="1" t="s">
        <v>430</v>
      </c>
      <c r="D98" s="1" t="s">
        <v>448</v>
      </c>
      <c r="E98" s="1" t="s">
        <v>140</v>
      </c>
      <c r="F98" s="24">
        <v>3.00868663032069E15</v>
      </c>
      <c r="G98" s="1" t="s">
        <v>449</v>
      </c>
      <c r="H98" s="23">
        <v>46063.64078976852</v>
      </c>
    </row>
    <row r="99">
      <c r="A99" s="1">
        <v>161030.0</v>
      </c>
      <c r="B99" s="1" t="s">
        <v>447</v>
      </c>
      <c r="C99" s="1" t="s">
        <v>430</v>
      </c>
      <c r="D99" s="1" t="s">
        <v>450</v>
      </c>
      <c r="E99" s="1" t="s">
        <v>140</v>
      </c>
      <c r="F99" s="1">
        <v>3.0320691E7</v>
      </c>
      <c r="G99" s="1" t="s">
        <v>451</v>
      </c>
      <c r="H99" s="23">
        <v>46063.64078976852</v>
      </c>
    </row>
    <row r="100">
      <c r="A100" s="1">
        <v>161030.0</v>
      </c>
      <c r="B100" s="1" t="s">
        <v>452</v>
      </c>
      <c r="C100" s="1" t="s">
        <v>430</v>
      </c>
      <c r="D100" s="1" t="s">
        <v>453</v>
      </c>
      <c r="E100" s="1" t="s">
        <v>140</v>
      </c>
      <c r="F100" s="1">
        <v>3.2844989E7</v>
      </c>
      <c r="G100" s="1" t="s">
        <v>454</v>
      </c>
      <c r="H100" s="23">
        <v>46063.64078976852</v>
      </c>
    </row>
    <row r="101">
      <c r="A101" s="1">
        <v>161030.0</v>
      </c>
      <c r="B101" s="1" t="s">
        <v>455</v>
      </c>
      <c r="C101" s="1" t="s">
        <v>430</v>
      </c>
      <c r="D101" s="1" t="s">
        <v>456</v>
      </c>
      <c r="E101" s="1" t="s">
        <v>162</v>
      </c>
      <c r="F101" s="1">
        <v>2.5487498E7</v>
      </c>
      <c r="G101" s="1" t="s">
        <v>428</v>
      </c>
      <c r="H101" s="23">
        <v>46063.64078976852</v>
      </c>
    </row>
    <row r="102">
      <c r="A102" s="1">
        <v>161030.0</v>
      </c>
      <c r="B102" s="1" t="s">
        <v>455</v>
      </c>
      <c r="C102" s="1" t="s">
        <v>430</v>
      </c>
      <c r="D102" s="1" t="s">
        <v>457</v>
      </c>
      <c r="E102" s="1" t="s">
        <v>162</v>
      </c>
      <c r="F102" s="1">
        <v>2.5487498E7</v>
      </c>
      <c r="G102" s="1" t="s">
        <v>428</v>
      </c>
      <c r="H102" s="23">
        <v>46063.64078976852</v>
      </c>
    </row>
    <row r="103">
      <c r="A103" s="1">
        <v>161030.0</v>
      </c>
      <c r="B103" s="1" t="s">
        <v>458</v>
      </c>
      <c r="C103" s="1" t="s">
        <v>459</v>
      </c>
      <c r="D103" s="1" t="s">
        <v>460</v>
      </c>
      <c r="E103" s="1" t="s">
        <v>140</v>
      </c>
      <c r="F103" s="1">
        <v>2.4686949E7</v>
      </c>
      <c r="G103" s="1" t="s">
        <v>303</v>
      </c>
      <c r="H103" s="23">
        <v>46063.64078976852</v>
      </c>
    </row>
    <row r="104">
      <c r="A104" s="1">
        <v>161030.0</v>
      </c>
      <c r="B104" s="1" t="s">
        <v>461</v>
      </c>
      <c r="C104" s="1" t="s">
        <v>462</v>
      </c>
      <c r="D104" s="1" t="s">
        <v>463</v>
      </c>
      <c r="E104" s="1" t="s">
        <v>140</v>
      </c>
      <c r="F104" s="1">
        <v>3.0702433E7</v>
      </c>
      <c r="G104" s="1" t="s">
        <v>464</v>
      </c>
      <c r="H104" s="23">
        <v>46063.64078976852</v>
      </c>
    </row>
    <row r="105">
      <c r="A105" s="1">
        <v>161030.0</v>
      </c>
      <c r="B105" s="1" t="s">
        <v>465</v>
      </c>
      <c r="C105" s="1" t="s">
        <v>466</v>
      </c>
      <c r="D105" s="1" t="s">
        <v>467</v>
      </c>
      <c r="E105" s="1" t="s">
        <v>140</v>
      </c>
      <c r="F105" s="1">
        <v>2.3550888E7</v>
      </c>
      <c r="G105" s="1" t="s">
        <v>468</v>
      </c>
      <c r="H105" s="23">
        <v>46063.64078976852</v>
      </c>
    </row>
    <row r="106">
      <c r="A106" s="1">
        <v>161030.0</v>
      </c>
      <c r="B106" s="1" t="s">
        <v>469</v>
      </c>
      <c r="C106" s="1" t="s">
        <v>466</v>
      </c>
      <c r="D106" s="1" t="s">
        <v>470</v>
      </c>
      <c r="E106" s="1" t="s">
        <v>140</v>
      </c>
      <c r="F106" s="1">
        <v>4.0446697E7</v>
      </c>
      <c r="G106" s="1" t="s">
        <v>471</v>
      </c>
      <c r="H106" s="23">
        <v>46063.64078976852</v>
      </c>
    </row>
    <row r="107">
      <c r="A107" s="1">
        <v>161030.0</v>
      </c>
      <c r="B107" s="1" t="s">
        <v>472</v>
      </c>
      <c r="C107" s="1" t="s">
        <v>473</v>
      </c>
      <c r="D107" s="1" t="s">
        <v>474</v>
      </c>
      <c r="E107" s="1" t="s">
        <v>140</v>
      </c>
      <c r="F107" s="1">
        <v>308244.0</v>
      </c>
      <c r="G107" s="1" t="s">
        <v>475</v>
      </c>
      <c r="H107" s="23">
        <v>46063.64078976852</v>
      </c>
    </row>
    <row r="108">
      <c r="A108" s="1">
        <v>161030.0</v>
      </c>
      <c r="B108" s="1" t="s">
        <v>476</v>
      </c>
      <c r="C108" s="1" t="s">
        <v>477</v>
      </c>
      <c r="D108" s="1" t="s">
        <v>478</v>
      </c>
      <c r="E108" s="1" t="s">
        <v>140</v>
      </c>
      <c r="F108" s="1">
        <v>3.5540217E7</v>
      </c>
      <c r="G108" s="1" t="s">
        <v>410</v>
      </c>
      <c r="H108" s="23">
        <v>46063.64078976852</v>
      </c>
    </row>
    <row r="109">
      <c r="A109" s="1">
        <v>161030.0</v>
      </c>
      <c r="B109" s="1" t="s">
        <v>479</v>
      </c>
      <c r="C109" s="1" t="s">
        <v>480</v>
      </c>
      <c r="D109" s="1" t="s">
        <v>481</v>
      </c>
      <c r="E109" s="1" t="s">
        <v>140</v>
      </c>
      <c r="F109" s="1">
        <v>2.6008539E7</v>
      </c>
      <c r="G109" s="1" t="s">
        <v>299</v>
      </c>
      <c r="H109" s="23">
        <v>46063.64078976852</v>
      </c>
    </row>
    <row r="110">
      <c r="A110" s="1">
        <v>161030.0</v>
      </c>
      <c r="B110" s="1" t="s">
        <v>482</v>
      </c>
      <c r="C110" s="1" t="s">
        <v>483</v>
      </c>
      <c r="D110" s="1" t="s">
        <v>484</v>
      </c>
      <c r="E110" s="1" t="s">
        <v>140</v>
      </c>
      <c r="F110" s="1">
        <v>3.8654725E7</v>
      </c>
      <c r="G110" s="1" t="s">
        <v>485</v>
      </c>
      <c r="H110" s="23">
        <v>46063.64078976852</v>
      </c>
    </row>
    <row r="111">
      <c r="A111" s="1">
        <v>161030.0</v>
      </c>
      <c r="B111" s="1" t="s">
        <v>486</v>
      </c>
      <c r="C111" s="1" t="s">
        <v>483</v>
      </c>
      <c r="D111" s="1" t="s">
        <v>487</v>
      </c>
      <c r="E111" s="1" t="s">
        <v>140</v>
      </c>
      <c r="F111" s="1">
        <v>757275.0</v>
      </c>
      <c r="G111" s="1" t="s">
        <v>408</v>
      </c>
      <c r="H111" s="23">
        <v>46063.64078976852</v>
      </c>
    </row>
    <row r="112">
      <c r="A112" s="1">
        <v>161030.0</v>
      </c>
      <c r="B112" s="1" t="s">
        <v>488</v>
      </c>
      <c r="C112" s="1" t="s">
        <v>489</v>
      </c>
      <c r="D112" s="1" t="s">
        <v>490</v>
      </c>
      <c r="E112" s="1" t="s">
        <v>140</v>
      </c>
      <c r="F112" s="1">
        <v>308244.0</v>
      </c>
      <c r="G112" s="1" t="s">
        <v>475</v>
      </c>
      <c r="H112" s="23">
        <v>46063.64078976852</v>
      </c>
    </row>
    <row r="113">
      <c r="A113" s="1">
        <v>161030.0</v>
      </c>
      <c r="B113" s="1" t="s">
        <v>491</v>
      </c>
      <c r="C113" s="1" t="s">
        <v>401</v>
      </c>
      <c r="D113" s="1" t="s">
        <v>492</v>
      </c>
      <c r="E113" s="1" t="s">
        <v>140</v>
      </c>
      <c r="F113" s="1">
        <v>2512429.0</v>
      </c>
      <c r="G113" s="1" t="s">
        <v>493</v>
      </c>
      <c r="H113" s="23">
        <v>46063.64078976852</v>
      </c>
    </row>
    <row r="114">
      <c r="A114" s="1">
        <v>161030.0</v>
      </c>
      <c r="B114" s="1" t="s">
        <v>401</v>
      </c>
      <c r="C114" s="1" t="s">
        <v>494</v>
      </c>
      <c r="D114" s="1" t="s">
        <v>495</v>
      </c>
      <c r="E114" s="1" t="s">
        <v>140</v>
      </c>
      <c r="F114" s="1">
        <v>2.4165589E7</v>
      </c>
      <c r="G114" s="1" t="s">
        <v>496</v>
      </c>
      <c r="H114" s="23">
        <v>46063.64078976852</v>
      </c>
    </row>
    <row r="115">
      <c r="A115" s="1">
        <v>161030.0</v>
      </c>
      <c r="B115" s="1" t="s">
        <v>497</v>
      </c>
      <c r="C115" s="1" t="s">
        <v>498</v>
      </c>
      <c r="D115" s="1" t="s">
        <v>499</v>
      </c>
      <c r="E115" s="1" t="s">
        <v>140</v>
      </c>
      <c r="F115" s="1">
        <v>3.0178546E7</v>
      </c>
      <c r="G115" s="1" t="s">
        <v>500</v>
      </c>
      <c r="H115" s="23">
        <v>46063.64078976852</v>
      </c>
    </row>
    <row r="116">
      <c r="A116" s="1">
        <v>161030.0</v>
      </c>
      <c r="B116" s="1" t="s">
        <v>501</v>
      </c>
      <c r="C116" s="1" t="s">
        <v>498</v>
      </c>
      <c r="D116" s="1" t="s">
        <v>502</v>
      </c>
      <c r="E116" s="1" t="s">
        <v>140</v>
      </c>
      <c r="F116" s="1">
        <v>3.9734083E7</v>
      </c>
      <c r="G116" s="1" t="s">
        <v>503</v>
      </c>
      <c r="H116" s="23">
        <v>46063.64078976852</v>
      </c>
    </row>
    <row r="117">
      <c r="A117" s="1">
        <v>161030.0</v>
      </c>
      <c r="B117" s="1" t="s">
        <v>504</v>
      </c>
      <c r="C117" s="1" t="s">
        <v>505</v>
      </c>
      <c r="D117" s="1" t="s">
        <v>506</v>
      </c>
      <c r="E117" s="1" t="s">
        <v>140</v>
      </c>
      <c r="F117" s="1">
        <v>772709.0</v>
      </c>
      <c r="G117" s="1" t="s">
        <v>507</v>
      </c>
      <c r="H117" s="23">
        <v>46063.64078976852</v>
      </c>
    </row>
    <row r="118">
      <c r="A118" s="1">
        <v>161030.0</v>
      </c>
      <c r="B118" s="1" t="s">
        <v>508</v>
      </c>
      <c r="C118" s="1" t="s">
        <v>505</v>
      </c>
      <c r="D118" s="1" t="s">
        <v>509</v>
      </c>
      <c r="E118" s="1" t="s">
        <v>140</v>
      </c>
      <c r="F118" s="1">
        <v>2.5055566E7</v>
      </c>
      <c r="G118" s="1" t="s">
        <v>510</v>
      </c>
      <c r="H118" s="23">
        <v>46063.64078976852</v>
      </c>
    </row>
    <row r="119">
      <c r="A119" s="1">
        <v>161030.0</v>
      </c>
      <c r="B119" s="1" t="s">
        <v>511</v>
      </c>
      <c r="C119" s="1" t="s">
        <v>505</v>
      </c>
      <c r="D119" s="1" t="s">
        <v>512</v>
      </c>
      <c r="E119" s="1" t="s">
        <v>162</v>
      </c>
      <c r="F119" s="1">
        <v>2.5055566E7</v>
      </c>
      <c r="G119" s="1" t="s">
        <v>510</v>
      </c>
      <c r="H119" s="23">
        <v>46063.64078976852</v>
      </c>
    </row>
    <row r="120">
      <c r="A120" s="1">
        <v>161030.0</v>
      </c>
      <c r="B120" s="1" t="s">
        <v>513</v>
      </c>
      <c r="C120" s="1" t="s">
        <v>514</v>
      </c>
      <c r="D120" s="1" t="s">
        <v>515</v>
      </c>
      <c r="E120" s="1" t="s">
        <v>213</v>
      </c>
      <c r="F120" s="1">
        <v>702897.0</v>
      </c>
      <c r="G120" s="1" t="s">
        <v>516</v>
      </c>
      <c r="H120" s="23">
        <v>46063.64078976852</v>
      </c>
    </row>
    <row r="121">
      <c r="A121" s="1">
        <v>161030.0</v>
      </c>
      <c r="B121" s="1" t="s">
        <v>517</v>
      </c>
      <c r="C121" s="1" t="s">
        <v>518</v>
      </c>
      <c r="D121" s="1" t="s">
        <v>519</v>
      </c>
      <c r="E121" s="1" t="s">
        <v>140</v>
      </c>
      <c r="F121" s="1">
        <v>3.4449285E7</v>
      </c>
      <c r="G121" s="1" t="s">
        <v>520</v>
      </c>
      <c r="H121" s="23">
        <v>46063.64078976852</v>
      </c>
    </row>
    <row r="122">
      <c r="A122" s="1">
        <v>161030.0</v>
      </c>
      <c r="B122" s="1" t="s">
        <v>521</v>
      </c>
      <c r="C122" s="1" t="s">
        <v>344</v>
      </c>
      <c r="D122" s="1" t="s">
        <v>522</v>
      </c>
      <c r="E122" s="1" t="s">
        <v>140</v>
      </c>
      <c r="F122" s="1">
        <v>2.4886734E7</v>
      </c>
      <c r="G122" s="1" t="s">
        <v>413</v>
      </c>
      <c r="H122" s="23">
        <v>46063.64078976852</v>
      </c>
    </row>
    <row r="123">
      <c r="A123" s="1">
        <v>161030.0</v>
      </c>
      <c r="B123" s="1" t="s">
        <v>433</v>
      </c>
      <c r="C123" s="1" t="s">
        <v>523</v>
      </c>
      <c r="D123" s="1" t="s">
        <v>524</v>
      </c>
      <c r="E123" s="1" t="s">
        <v>140</v>
      </c>
      <c r="F123" s="1">
        <v>2.4603182E7</v>
      </c>
      <c r="G123" s="1" t="s">
        <v>525</v>
      </c>
      <c r="H123" s="23">
        <v>46063.64078976852</v>
      </c>
    </row>
    <row r="124">
      <c r="A124" s="1">
        <v>161030.0</v>
      </c>
      <c r="B124" s="1" t="s">
        <v>526</v>
      </c>
      <c r="C124" s="1" t="s">
        <v>527</v>
      </c>
      <c r="D124" s="1" t="s">
        <v>528</v>
      </c>
      <c r="E124" s="1" t="s">
        <v>234</v>
      </c>
      <c r="F124" s="1">
        <v>702897.0</v>
      </c>
      <c r="G124" s="1" t="s">
        <v>516</v>
      </c>
      <c r="H124" s="23">
        <v>46063.64078976852</v>
      </c>
    </row>
    <row r="125">
      <c r="A125" s="1">
        <v>161030.0</v>
      </c>
      <c r="B125" s="1" t="s">
        <v>529</v>
      </c>
      <c r="C125" s="1" t="s">
        <v>530</v>
      </c>
      <c r="D125" s="1" t="s">
        <v>531</v>
      </c>
      <c r="E125" s="1" t="s">
        <v>140</v>
      </c>
      <c r="F125" s="1">
        <v>2.4165589E7</v>
      </c>
      <c r="G125" s="1" t="s">
        <v>496</v>
      </c>
      <c r="H125" s="23">
        <v>46063.64078976852</v>
      </c>
    </row>
    <row r="126">
      <c r="A126" s="1">
        <v>161030.0</v>
      </c>
      <c r="B126" s="1" t="s">
        <v>532</v>
      </c>
      <c r="C126" s="1" t="s">
        <v>533</v>
      </c>
      <c r="D126" s="1" t="s">
        <v>534</v>
      </c>
      <c r="E126" s="1" t="s">
        <v>140</v>
      </c>
      <c r="F126" s="1">
        <v>2.7810403E7</v>
      </c>
      <c r="G126" s="1" t="s">
        <v>535</v>
      </c>
      <c r="H126" s="23">
        <v>46063.64078976852</v>
      </c>
    </row>
    <row r="127">
      <c r="A127" s="1">
        <v>161030.0</v>
      </c>
      <c r="B127" s="1" t="s">
        <v>532</v>
      </c>
      <c r="C127" s="1" t="s">
        <v>533</v>
      </c>
      <c r="D127" s="1" t="s">
        <v>536</v>
      </c>
      <c r="E127" s="1" t="s">
        <v>140</v>
      </c>
      <c r="F127" s="1">
        <v>2.7810403E7</v>
      </c>
      <c r="G127" s="1" t="s">
        <v>535</v>
      </c>
      <c r="H127" s="23">
        <v>46063.64078976852</v>
      </c>
    </row>
    <row r="128">
      <c r="A128" s="1">
        <v>161030.0</v>
      </c>
      <c r="B128" s="1" t="s">
        <v>537</v>
      </c>
      <c r="C128" s="1" t="s">
        <v>538</v>
      </c>
      <c r="D128" s="1" t="s">
        <v>539</v>
      </c>
      <c r="E128" s="1" t="s">
        <v>140</v>
      </c>
      <c r="F128" s="1">
        <v>970661.0</v>
      </c>
      <c r="G128" s="1" t="s">
        <v>295</v>
      </c>
      <c r="H128" s="23">
        <v>46063.64078976852</v>
      </c>
    </row>
    <row r="129">
      <c r="A129" s="1">
        <v>161030.0</v>
      </c>
      <c r="B129" s="1" t="s">
        <v>540</v>
      </c>
      <c r="C129" s="1" t="s">
        <v>541</v>
      </c>
      <c r="D129" s="1" t="s">
        <v>542</v>
      </c>
      <c r="E129" s="1" t="s">
        <v>140</v>
      </c>
      <c r="F129" s="1">
        <v>2.3366616E7</v>
      </c>
      <c r="G129" s="1" t="s">
        <v>543</v>
      </c>
      <c r="H129" s="23">
        <v>46063.64078976852</v>
      </c>
    </row>
    <row r="130">
      <c r="A130" s="1">
        <v>161030.0</v>
      </c>
      <c r="B130" s="1" t="s">
        <v>544</v>
      </c>
      <c r="C130" s="1" t="s">
        <v>538</v>
      </c>
      <c r="D130" s="1" t="s">
        <v>545</v>
      </c>
      <c r="E130" s="1" t="s">
        <v>140</v>
      </c>
      <c r="F130" s="1">
        <v>2.3366616E7</v>
      </c>
      <c r="G130" s="1" t="s">
        <v>543</v>
      </c>
      <c r="H130" s="23">
        <v>46063.64078976852</v>
      </c>
    </row>
    <row r="131">
      <c r="A131" s="1">
        <v>208622.0</v>
      </c>
      <c r="B131" s="1" t="s">
        <v>546</v>
      </c>
      <c r="C131" s="1" t="s">
        <v>547</v>
      </c>
      <c r="D131" s="1" t="s">
        <v>548</v>
      </c>
      <c r="E131" s="1" t="s">
        <v>162</v>
      </c>
      <c r="F131" s="1">
        <v>632746.0</v>
      </c>
      <c r="G131" s="1" t="s">
        <v>549</v>
      </c>
      <c r="H131" s="23">
        <v>46063.64078976852</v>
      </c>
    </row>
    <row r="132">
      <c r="A132" s="1">
        <v>208622.0</v>
      </c>
      <c r="B132" s="1" t="s">
        <v>550</v>
      </c>
      <c r="C132" s="1" t="s">
        <v>551</v>
      </c>
      <c r="D132" s="1" t="s">
        <v>552</v>
      </c>
      <c r="E132" s="1" t="s">
        <v>192</v>
      </c>
      <c r="F132" s="1">
        <v>632746.0</v>
      </c>
      <c r="G132" s="1" t="s">
        <v>549</v>
      </c>
      <c r="H132" s="23">
        <v>46063.64078976852</v>
      </c>
    </row>
    <row r="133">
      <c r="A133" s="1">
        <v>208622.0</v>
      </c>
      <c r="B133" s="1" t="s">
        <v>553</v>
      </c>
      <c r="C133" s="1" t="s">
        <v>554</v>
      </c>
      <c r="D133" s="1" t="s">
        <v>555</v>
      </c>
      <c r="E133" s="1" t="s">
        <v>162</v>
      </c>
      <c r="F133" s="1">
        <v>632746.0</v>
      </c>
      <c r="G133" s="1" t="s">
        <v>549</v>
      </c>
      <c r="H133" s="23">
        <v>46063.64078976852</v>
      </c>
    </row>
    <row r="134">
      <c r="A134" s="1">
        <v>208622.0</v>
      </c>
      <c r="B134" s="1" t="s">
        <v>556</v>
      </c>
      <c r="C134" s="1" t="s">
        <v>557</v>
      </c>
      <c r="D134" s="1" t="s">
        <v>558</v>
      </c>
      <c r="E134" s="1" t="s">
        <v>162</v>
      </c>
      <c r="F134" s="1">
        <v>632746.0</v>
      </c>
      <c r="G134" s="1" t="s">
        <v>549</v>
      </c>
      <c r="H134" s="23">
        <v>46063.64078976852</v>
      </c>
    </row>
    <row r="135">
      <c r="A135" s="1">
        <v>208622.0</v>
      </c>
      <c r="B135" s="1" t="s">
        <v>559</v>
      </c>
      <c r="C135" s="1" t="s">
        <v>560</v>
      </c>
      <c r="D135" s="1" t="s">
        <v>561</v>
      </c>
      <c r="E135" s="1" t="s">
        <v>162</v>
      </c>
      <c r="F135" s="1">
        <v>632746.0</v>
      </c>
      <c r="G135" s="1" t="s">
        <v>549</v>
      </c>
      <c r="H135" s="23">
        <v>46063.64078976852</v>
      </c>
    </row>
    <row r="136">
      <c r="A136" s="1">
        <v>212844.0</v>
      </c>
      <c r="B136" s="1" t="s">
        <v>562</v>
      </c>
      <c r="C136" s="1" t="s">
        <v>563</v>
      </c>
      <c r="D136" s="1" t="s">
        <v>564</v>
      </c>
      <c r="E136" s="1" t="s">
        <v>162</v>
      </c>
      <c r="F136" s="1">
        <v>448502.0</v>
      </c>
      <c r="G136" s="1" t="s">
        <v>565</v>
      </c>
      <c r="H136" s="23">
        <v>46063.64078976852</v>
      </c>
    </row>
    <row r="137">
      <c r="A137" s="1">
        <v>212844.0</v>
      </c>
      <c r="B137" s="1" t="s">
        <v>562</v>
      </c>
      <c r="C137" s="1" t="s">
        <v>563</v>
      </c>
      <c r="D137" s="1" t="s">
        <v>566</v>
      </c>
      <c r="E137" s="1" t="s">
        <v>140</v>
      </c>
      <c r="F137" s="1">
        <v>448502.0</v>
      </c>
      <c r="G137" s="1" t="s">
        <v>565</v>
      </c>
      <c r="H137" s="23">
        <v>46063.64078976852</v>
      </c>
    </row>
    <row r="138">
      <c r="A138" s="1">
        <v>226380.0</v>
      </c>
      <c r="B138" s="1" t="s">
        <v>124</v>
      </c>
      <c r="C138" s="1" t="s">
        <v>356</v>
      </c>
      <c r="D138" s="1" t="s">
        <v>567</v>
      </c>
      <c r="E138" s="1" t="s">
        <v>162</v>
      </c>
      <c r="F138" s="24">
        <v>4.78949371159532E21</v>
      </c>
      <c r="G138" s="1" t="s">
        <v>568</v>
      </c>
      <c r="H138" s="23">
        <v>46063.64078976852</v>
      </c>
    </row>
    <row r="139">
      <c r="A139" s="1">
        <v>273840.0</v>
      </c>
      <c r="B139" s="1" t="s">
        <v>569</v>
      </c>
      <c r="C139" s="1" t="s">
        <v>570</v>
      </c>
      <c r="D139" s="1" t="s">
        <v>571</v>
      </c>
      <c r="E139" s="1" t="s">
        <v>162</v>
      </c>
      <c r="F139" s="1">
        <v>584710.0</v>
      </c>
      <c r="G139" s="1" t="s">
        <v>126</v>
      </c>
      <c r="H139" s="23">
        <v>46063.64078976852</v>
      </c>
    </row>
    <row r="140">
      <c r="A140" s="1">
        <v>273840.0</v>
      </c>
      <c r="B140" s="1" t="s">
        <v>572</v>
      </c>
      <c r="C140" s="1" t="s">
        <v>573</v>
      </c>
      <c r="D140" s="1" t="s">
        <v>574</v>
      </c>
      <c r="E140" s="1" t="s">
        <v>140</v>
      </c>
      <c r="F140" s="1">
        <v>584710.0</v>
      </c>
      <c r="G140" s="1" t="s">
        <v>126</v>
      </c>
      <c r="H140" s="23">
        <v>46063.64078976852</v>
      </c>
    </row>
    <row r="141">
      <c r="A141" s="1">
        <v>286030.0</v>
      </c>
      <c r="B141" s="1" t="s">
        <v>575</v>
      </c>
      <c r="C141" s="1" t="s">
        <v>576</v>
      </c>
      <c r="D141" s="1" t="s">
        <v>577</v>
      </c>
      <c r="E141" s="1" t="s">
        <v>162</v>
      </c>
      <c r="F141" s="24">
        <v>2.76570644102943E59</v>
      </c>
      <c r="G141" s="1" t="s">
        <v>578</v>
      </c>
      <c r="H141" s="23">
        <v>46063.64078976852</v>
      </c>
    </row>
    <row r="142">
      <c r="A142" s="1">
        <v>286030.0</v>
      </c>
      <c r="B142" s="1" t="s">
        <v>579</v>
      </c>
      <c r="C142" s="1" t="s">
        <v>576</v>
      </c>
      <c r="D142" s="1" t="s">
        <v>580</v>
      </c>
      <c r="E142" s="1" t="s">
        <v>162</v>
      </c>
      <c r="F142" s="24">
        <v>2.30554144102943E59</v>
      </c>
      <c r="G142" s="1" t="s">
        <v>581</v>
      </c>
      <c r="H142" s="23">
        <v>46063.64078976852</v>
      </c>
    </row>
    <row r="143">
      <c r="A143" s="1">
        <v>362296.0</v>
      </c>
      <c r="B143" s="1" t="s">
        <v>582</v>
      </c>
      <c r="C143" s="1" t="s">
        <v>583</v>
      </c>
      <c r="D143" s="1" t="s">
        <v>584</v>
      </c>
      <c r="E143" s="1" t="s">
        <v>162</v>
      </c>
      <c r="F143" s="1">
        <v>809694.0</v>
      </c>
      <c r="G143" s="1" t="s">
        <v>585</v>
      </c>
      <c r="H143" s="23">
        <v>46063.64078976852</v>
      </c>
    </row>
    <row r="144">
      <c r="A144" s="1">
        <v>421348.0</v>
      </c>
      <c r="B144" s="1" t="s">
        <v>586</v>
      </c>
      <c r="C144" s="1" t="s">
        <v>587</v>
      </c>
      <c r="D144" s="1" t="s">
        <v>588</v>
      </c>
      <c r="E144" s="1" t="s">
        <v>162</v>
      </c>
      <c r="F144" s="24">
        <v>2.50212773519203E21</v>
      </c>
      <c r="G144" s="1" t="s">
        <v>589</v>
      </c>
      <c r="H144" s="23">
        <v>46063.64078976852</v>
      </c>
    </row>
    <row r="145">
      <c r="A145" s="1">
        <v>421348.0</v>
      </c>
      <c r="B145" s="1" t="s">
        <v>590</v>
      </c>
      <c r="C145" s="1" t="s">
        <v>587</v>
      </c>
      <c r="D145" s="1" t="s">
        <v>591</v>
      </c>
      <c r="E145" s="1" t="s">
        <v>162</v>
      </c>
      <c r="F145" s="24">
        <v>9.51303250212773E21</v>
      </c>
      <c r="G145" s="1" t="s">
        <v>592</v>
      </c>
      <c r="H145" s="23">
        <v>46063.64078976852</v>
      </c>
    </row>
    <row r="146">
      <c r="A146" s="1">
        <v>421348.0</v>
      </c>
      <c r="B146" s="1" t="s">
        <v>593</v>
      </c>
      <c r="C146" s="1" t="s">
        <v>594</v>
      </c>
      <c r="D146" s="1" t="s">
        <v>595</v>
      </c>
      <c r="E146" s="1" t="s">
        <v>140</v>
      </c>
      <c r="F146" s="24">
        <v>3.51920359513032E21</v>
      </c>
      <c r="G146" s="1" t="s">
        <v>592</v>
      </c>
      <c r="H146" s="23">
        <v>46063.64078976852</v>
      </c>
    </row>
    <row r="147">
      <c r="A147" s="1">
        <v>626500.0</v>
      </c>
      <c r="B147" s="1" t="s">
        <v>109</v>
      </c>
      <c r="C147" s="1" t="s">
        <v>356</v>
      </c>
      <c r="D147" s="1" t="s">
        <v>596</v>
      </c>
      <c r="E147" s="1" t="s">
        <v>162</v>
      </c>
      <c r="F147" s="24">
        <v>1.32770289927E11</v>
      </c>
      <c r="G147" s="1" t="s">
        <v>597</v>
      </c>
      <c r="H147" s="23">
        <v>46063.64078976852</v>
      </c>
    </row>
    <row r="148">
      <c r="A148" s="1">
        <v>631205.0</v>
      </c>
      <c r="B148" s="1" t="s">
        <v>598</v>
      </c>
      <c r="C148" s="1" t="s">
        <v>245</v>
      </c>
      <c r="D148" s="1" t="s">
        <v>599</v>
      </c>
      <c r="E148" s="1" t="s">
        <v>162</v>
      </c>
      <c r="F148" s="1">
        <v>474704.0</v>
      </c>
      <c r="G148" s="1" t="s">
        <v>598</v>
      </c>
      <c r="H148" s="23">
        <v>46063.64078976852</v>
      </c>
    </row>
    <row r="149">
      <c r="A149" s="1">
        <v>631205.0</v>
      </c>
      <c r="B149" s="1" t="s">
        <v>600</v>
      </c>
      <c r="C149" s="1" t="s">
        <v>601</v>
      </c>
      <c r="D149" s="1" t="s">
        <v>602</v>
      </c>
      <c r="E149" s="1" t="s">
        <v>140</v>
      </c>
      <c r="F149" s="24">
        <v>4.7731635815341E13</v>
      </c>
      <c r="G149" s="1" t="s">
        <v>603</v>
      </c>
      <c r="H149" s="23">
        <v>46063.64078976852</v>
      </c>
    </row>
    <row r="150">
      <c r="A150" s="1">
        <v>631205.0</v>
      </c>
      <c r="B150" s="1" t="s">
        <v>604</v>
      </c>
      <c r="C150" s="1" t="s">
        <v>605</v>
      </c>
      <c r="D150" s="1" t="s">
        <v>606</v>
      </c>
      <c r="E150" s="1" t="s">
        <v>607</v>
      </c>
      <c r="F150" s="24">
        <v>2.75651324747043E50</v>
      </c>
      <c r="G150" s="1" t="s">
        <v>608</v>
      </c>
      <c r="H150" s="23">
        <v>46063.64078976852</v>
      </c>
    </row>
    <row r="151">
      <c r="A151" s="1">
        <v>1064355.0</v>
      </c>
      <c r="B151" s="1" t="s">
        <v>609</v>
      </c>
      <c r="C151" s="1" t="s">
        <v>538</v>
      </c>
      <c r="D151" s="1" t="s">
        <v>610</v>
      </c>
      <c r="E151" s="1" t="s">
        <v>162</v>
      </c>
      <c r="F151" s="1">
        <v>138481.0</v>
      </c>
      <c r="G151" s="1" t="s">
        <v>611</v>
      </c>
      <c r="H151" s="23">
        <v>46063.64078976852</v>
      </c>
    </row>
    <row r="152">
      <c r="A152" s="1">
        <v>1.1197655E7</v>
      </c>
      <c r="B152" s="1" t="s">
        <v>612</v>
      </c>
      <c r="C152" s="1" t="s">
        <v>613</v>
      </c>
      <c r="D152" s="1" t="s">
        <v>614</v>
      </c>
      <c r="E152" s="1" t="s">
        <v>162</v>
      </c>
      <c r="F152" s="24">
        <v>2.34524543277499E15</v>
      </c>
      <c r="G152" s="1" t="s">
        <v>615</v>
      </c>
      <c r="H152" s="23">
        <v>46063.64078976852</v>
      </c>
    </row>
    <row r="153">
      <c r="A153" s="1">
        <v>1.135924E7</v>
      </c>
      <c r="B153" s="1" t="s">
        <v>616</v>
      </c>
      <c r="C153" s="1" t="s">
        <v>617</v>
      </c>
      <c r="D153" s="1" t="s">
        <v>618</v>
      </c>
      <c r="E153" s="1" t="s">
        <v>162</v>
      </c>
      <c r="F153" s="24">
        <v>2.79153563465969E31</v>
      </c>
      <c r="G153" s="1" t="s">
        <v>619</v>
      </c>
      <c r="H153" s="23">
        <v>46063.64078976852</v>
      </c>
    </row>
    <row r="154">
      <c r="A154" s="1">
        <v>1.135924E7</v>
      </c>
      <c r="B154" s="1" t="s">
        <v>616</v>
      </c>
      <c r="C154" s="1" t="s">
        <v>617</v>
      </c>
      <c r="D154" s="1" t="s">
        <v>620</v>
      </c>
      <c r="E154" s="1" t="s">
        <v>162</v>
      </c>
      <c r="F154" s="1">
        <v>3.8890404E7</v>
      </c>
      <c r="G154" s="1" t="s">
        <v>621</v>
      </c>
      <c r="H154" s="23">
        <v>46063.64078976852</v>
      </c>
    </row>
    <row r="155">
      <c r="A155" s="1">
        <v>1.1428387E7</v>
      </c>
      <c r="B155" s="1" t="s">
        <v>622</v>
      </c>
      <c r="C155" s="1" t="s">
        <v>623</v>
      </c>
      <c r="D155" s="1" t="s">
        <v>624</v>
      </c>
      <c r="E155" s="1" t="s">
        <v>162</v>
      </c>
      <c r="F155" s="24">
        <v>2.48717512537174E23</v>
      </c>
      <c r="G155" s="1" t="s">
        <v>625</v>
      </c>
      <c r="H155" s="23">
        <v>46063.64078976852</v>
      </c>
    </row>
    <row r="156">
      <c r="A156" s="1">
        <v>1.1428387E7</v>
      </c>
      <c r="B156" s="1" t="s">
        <v>225</v>
      </c>
      <c r="C156" s="1" t="s">
        <v>626</v>
      </c>
      <c r="D156" s="1" t="s">
        <v>627</v>
      </c>
      <c r="E156" s="1" t="s">
        <v>162</v>
      </c>
      <c r="F156" s="24">
        <v>2.46023832537174E23</v>
      </c>
      <c r="G156" s="1" t="s">
        <v>628</v>
      </c>
      <c r="H156" s="23">
        <v>46063.64078976852</v>
      </c>
    </row>
    <row r="157">
      <c r="A157" s="1">
        <v>1.1428387E7</v>
      </c>
      <c r="B157" s="1" t="s">
        <v>629</v>
      </c>
      <c r="C157" s="1" t="s">
        <v>630</v>
      </c>
      <c r="D157" s="1" t="s">
        <v>631</v>
      </c>
      <c r="E157" s="1" t="s">
        <v>632</v>
      </c>
      <c r="F157" s="24">
        <v>2.53717462487175E23</v>
      </c>
      <c r="G157" s="1" t="s">
        <v>633</v>
      </c>
      <c r="H157" s="23">
        <v>46063.64078976852</v>
      </c>
    </row>
    <row r="158">
      <c r="A158" s="1">
        <v>1.1428387E7</v>
      </c>
      <c r="B158" s="1" t="s">
        <v>634</v>
      </c>
      <c r="C158" s="1" t="s">
        <v>635</v>
      </c>
      <c r="D158" s="1" t="s">
        <v>636</v>
      </c>
      <c r="E158" s="1" t="s">
        <v>140</v>
      </c>
      <c r="F158" s="1">
        <v>2.5371746E7</v>
      </c>
      <c r="G158" s="1" t="s">
        <v>637</v>
      </c>
      <c r="H158" s="23">
        <v>46063.64078976852</v>
      </c>
    </row>
    <row r="159">
      <c r="A159" s="1">
        <v>1.1624201E7</v>
      </c>
      <c r="B159" s="1" t="s">
        <v>638</v>
      </c>
      <c r="C159" s="1" t="s">
        <v>207</v>
      </c>
      <c r="D159" s="1" t="s">
        <v>639</v>
      </c>
      <c r="E159" s="1" t="s">
        <v>140</v>
      </c>
      <c r="F159" s="1">
        <v>2.5053872E7</v>
      </c>
      <c r="G159" s="1" t="s">
        <v>640</v>
      </c>
      <c r="H159" s="23">
        <v>46063.64078976852</v>
      </c>
    </row>
    <row r="160">
      <c r="A160" s="1">
        <v>1.178148E7</v>
      </c>
      <c r="B160" s="1" t="s">
        <v>641</v>
      </c>
      <c r="C160" s="1" t="s">
        <v>642</v>
      </c>
      <c r="D160" s="1" t="s">
        <v>643</v>
      </c>
      <c r="E160" s="1" t="s">
        <v>140</v>
      </c>
      <c r="F160" s="1">
        <v>2.5958246E7</v>
      </c>
      <c r="G160" s="1" t="s">
        <v>644</v>
      </c>
      <c r="H160" s="23">
        <v>46063.64078976852</v>
      </c>
    </row>
    <row r="161">
      <c r="A161" s="1">
        <v>1.178148E7</v>
      </c>
      <c r="B161" s="1" t="s">
        <v>645</v>
      </c>
      <c r="C161" s="1" t="s">
        <v>646</v>
      </c>
      <c r="D161" s="1" t="s">
        <v>647</v>
      </c>
      <c r="E161" s="1" t="s">
        <v>162</v>
      </c>
      <c r="F161" s="1">
        <v>2.5958246E7</v>
      </c>
      <c r="G161" s="1" t="s">
        <v>644</v>
      </c>
      <c r="H161" s="23">
        <v>46063.64078976852</v>
      </c>
    </row>
    <row r="162">
      <c r="A162" s="1">
        <v>1.178148E7</v>
      </c>
      <c r="B162" s="1" t="s">
        <v>645</v>
      </c>
      <c r="C162" s="1" t="s">
        <v>646</v>
      </c>
      <c r="D162" s="1" t="s">
        <v>648</v>
      </c>
      <c r="E162" s="1" t="s">
        <v>162</v>
      </c>
      <c r="F162" s="1">
        <v>2.5958246E7</v>
      </c>
      <c r="G162" s="1" t="s">
        <v>644</v>
      </c>
      <c r="H162" s="23">
        <v>46063.64078976852</v>
      </c>
    </row>
    <row r="163">
      <c r="A163" s="1">
        <v>1.178148E7</v>
      </c>
      <c r="B163" s="1" t="s">
        <v>649</v>
      </c>
      <c r="C163" s="1" t="s">
        <v>650</v>
      </c>
      <c r="D163" s="1" t="s">
        <v>651</v>
      </c>
      <c r="E163" s="1" t="s">
        <v>162</v>
      </c>
      <c r="F163" s="1">
        <v>2.5958246E7</v>
      </c>
      <c r="G163" s="1" t="s">
        <v>644</v>
      </c>
      <c r="H163" s="23">
        <v>46063.64078976852</v>
      </c>
    </row>
    <row r="164">
      <c r="A164" s="1">
        <v>1.178148E7</v>
      </c>
      <c r="B164" s="1" t="s">
        <v>529</v>
      </c>
      <c r="C164" s="1" t="s">
        <v>652</v>
      </c>
      <c r="D164" s="1" t="s">
        <v>653</v>
      </c>
      <c r="E164" s="1" t="s">
        <v>162</v>
      </c>
      <c r="F164" s="1">
        <v>2.5958246E7</v>
      </c>
      <c r="G164" s="1" t="s">
        <v>644</v>
      </c>
      <c r="H164" s="23">
        <v>46063.64078976852</v>
      </c>
    </row>
    <row r="165">
      <c r="A165" s="1">
        <v>1.178148E7</v>
      </c>
      <c r="B165" s="1" t="s">
        <v>654</v>
      </c>
      <c r="C165" s="1" t="s">
        <v>655</v>
      </c>
      <c r="D165" s="1" t="s">
        <v>656</v>
      </c>
      <c r="E165" s="1" t="s">
        <v>162</v>
      </c>
      <c r="F165" s="1">
        <v>2.5958246E7</v>
      </c>
      <c r="G165" s="1" t="s">
        <v>644</v>
      </c>
      <c r="H165" s="23">
        <v>46063.64078976852</v>
      </c>
    </row>
    <row r="166">
      <c r="A166" s="1">
        <v>1.296125E7</v>
      </c>
      <c r="B166" s="1" t="s">
        <v>657</v>
      </c>
      <c r="C166" s="1" t="s">
        <v>658</v>
      </c>
      <c r="D166" s="1" t="s">
        <v>659</v>
      </c>
      <c r="E166" s="1" t="s">
        <v>607</v>
      </c>
      <c r="F166" s="24">
        <v>3.67144853671448E39</v>
      </c>
      <c r="G166" s="1" t="s">
        <v>660</v>
      </c>
      <c r="H166" s="23">
        <v>46063.64078976852</v>
      </c>
    </row>
    <row r="167">
      <c r="A167" s="1">
        <v>1.3635899E7</v>
      </c>
      <c r="B167" s="1" t="s">
        <v>425</v>
      </c>
      <c r="C167" s="1" t="s">
        <v>527</v>
      </c>
      <c r="D167" s="1" t="s">
        <v>661</v>
      </c>
      <c r="E167" s="1" t="s">
        <v>162</v>
      </c>
      <c r="F167" s="1">
        <v>3.1775287E7</v>
      </c>
      <c r="G167" s="1" t="s">
        <v>127</v>
      </c>
      <c r="H167" s="23">
        <v>46063.64078976852</v>
      </c>
    </row>
    <row r="168">
      <c r="A168" s="1">
        <v>1.3635899E7</v>
      </c>
      <c r="B168" s="1" t="s">
        <v>333</v>
      </c>
      <c r="C168" s="1" t="s">
        <v>527</v>
      </c>
      <c r="D168" s="1" t="s">
        <v>662</v>
      </c>
      <c r="E168" s="1" t="s">
        <v>162</v>
      </c>
      <c r="F168" s="1">
        <v>3.1775287E7</v>
      </c>
      <c r="G168" s="1" t="s">
        <v>127</v>
      </c>
      <c r="H168" s="23">
        <v>46063.64078976852</v>
      </c>
    </row>
    <row r="169">
      <c r="A169" s="1">
        <v>1.4667011E7</v>
      </c>
      <c r="B169" s="1" t="s">
        <v>190</v>
      </c>
      <c r="C169" s="1" t="s">
        <v>663</v>
      </c>
      <c r="D169" s="1" t="s">
        <v>664</v>
      </c>
      <c r="E169" s="1" t="s">
        <v>162</v>
      </c>
      <c r="F169" s="1">
        <v>3.5485073E7</v>
      </c>
      <c r="G169" s="1" t="s">
        <v>665</v>
      </c>
      <c r="H169" s="23">
        <v>46063.64078976852</v>
      </c>
    </row>
    <row r="170">
      <c r="A170" s="1">
        <v>1.4667011E7</v>
      </c>
      <c r="B170" s="1" t="s">
        <v>190</v>
      </c>
      <c r="C170" s="1" t="s">
        <v>666</v>
      </c>
      <c r="D170" s="1" t="s">
        <v>667</v>
      </c>
      <c r="E170" s="1" t="s">
        <v>162</v>
      </c>
      <c r="F170" s="1">
        <v>3.5485073E7</v>
      </c>
      <c r="G170" s="1" t="s">
        <v>665</v>
      </c>
      <c r="H170" s="23">
        <v>46063.64078976852</v>
      </c>
    </row>
  </sheetData>
  <drawing r:id="rId1"/>
</worksheet>
</file>